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new user\Downloads\COMMERCIAL REVENUE &amp; SALES INTELLIGENCE\"/>
    </mc:Choice>
  </mc:AlternateContent>
  <xr:revisionPtr revIDLastSave="0" documentId="8_{27C6F01B-CF01-4F1A-8950-371289773648}" xr6:coauthVersionLast="47" xr6:coauthVersionMax="47" xr10:uidLastSave="{00000000-0000-0000-0000-000000000000}"/>
  <bookViews>
    <workbookView xWindow="-110" yWindow="-110" windowWidth="19420" windowHeight="10300" activeTab="1" xr2:uid="{A1D4F279-AA1A-4298-ACF2-9632CCDC2252}"/>
  </bookViews>
  <sheets>
    <sheet name="Analysis" sheetId="3" r:id="rId1"/>
    <sheet name="Dashboard" sheetId="11" r:id="rId2"/>
    <sheet name="Sheet1" sheetId="1" r:id="rId3"/>
    <sheet name="Sheet1 (2)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3" l="1"/>
  <c r="F43" i="3"/>
  <c r="E43" i="3"/>
  <c r="D43" i="3"/>
</calcChain>
</file>

<file path=xl/sharedStrings.xml><?xml version="1.0" encoding="utf-8"?>
<sst xmlns="http://schemas.openxmlformats.org/spreadsheetml/2006/main" count="11655" uniqueCount="161">
  <si>
    <t>Order Details for 2014</t>
  </si>
  <si>
    <t>Order Details for 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</si>
  <si>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</si>
  <si>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</si>
  <si>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</si>
  <si>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</si>
  <si>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</si>
  <si>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</si>
  <si>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</si>
  <si>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</si>
  <si>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</si>
  <si>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</si>
  <si>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</si>
  <si>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</si>
  <si>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</si>
  <si>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</si>
  <si>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</si>
  <si>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</si>
  <si>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</si>
  <si>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</si>
  <si>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</si>
  <si>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</si>
  <si>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</si>
  <si>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</si>
  <si>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</si>
  <si>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</si>
  <si>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</si>
  <si>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</si>
  <si>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</si>
  <si>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</si>
  <si>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</si>
  <si>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</si>
  <si>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</si>
  <si>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</si>
  <si>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</si>
  <si>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</si>
  <si>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</si>
  <si>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</si>
  <si>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</si>
  <si>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</si>
  <si>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</si>
  <si>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</si>
  <si>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</si>
  <si>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</si>
  <si>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</si>
  <si>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</si>
  <si>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</si>
  <si>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</si>
  <si>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</si>
  <si>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</si>
  <si>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</si>
  <si>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</si>
  <si>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</si>
  <si>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</si>
  <si>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</si>
  <si>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</si>
  <si>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</si>
  <si>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</si>
  <si>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</si>
  <si>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</si>
  <si>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</si>
  <si>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</si>
  <si>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</si>
  <si>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</si>
  <si>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</si>
  <si>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</si>
  <si>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</si>
  <si>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</si>
  <si>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</si>
  <si>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</si>
  <si>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</si>
  <si>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</si>
  <si>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</si>
  <si>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</si>
  <si>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</si>
  <si>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</si>
  <si>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</si>
  <si>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</si>
  <si>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</si>
  <si>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</si>
  <si>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</si>
  <si>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</si>
  <si>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</si>
  <si>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</si>
  <si>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</si>
  <si>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</si>
  <si>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</si>
  <si>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</si>
  <si>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</si>
  <si>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</si>
  <si>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</si>
  <si>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</si>
  <si>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</si>
  <si>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</si>
  <si>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</si>
  <si>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</si>
  <si>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</si>
  <si>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</si>
  <si>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</si>
  <si>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</si>
  <si>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</si>
  <si>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</si>
  <si>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</si>
  <si>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</si>
  <si>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</si>
  <si>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</si>
  <si>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</si>
  <si>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</si>
  <si>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</si>
  <si>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</si>
  <si>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</si>
  <si>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</si>
  <si>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</si>
  <si>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</si>
  <si>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</si>
  <si>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</si>
  <si>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</si>
  <si>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</si>
  <si>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</si>
  <si>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</si>
  <si>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</si>
  <si>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</si>
  <si>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</si>
  <si>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</si>
  <si>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</si>
  <si>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</si>
  <si>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</si>
  <si>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</si>
  <si>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</si>
  <si>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</si>
  <si>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</si>
  <si>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</si>
  <si>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</si>
  <si>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</si>
  <si>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</si>
  <si>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</si>
  <si>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</si>
  <si>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</si>
  <si>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</si>
  <si>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</si>
  <si>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</si>
  <si>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</si>
  <si>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</si>
  <si>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</si>
  <si>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</si>
  <si>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</si>
  <si>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</si>
  <si>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</si>
  <si>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</si>
  <si>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</si>
  <si>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</si>
  <si>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</si>
  <si>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</si>
  <si>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</si>
  <si>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Grand Total</t>
  </si>
  <si>
    <t>Sum of Revenue</t>
  </si>
  <si>
    <t>Company Name</t>
  </si>
  <si>
    <t>Sum of Shipping Fee</t>
  </si>
  <si>
    <t>Sum of Unit Price</t>
  </si>
  <si>
    <t>Sum of Quantity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</si>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</sst>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;@"/>
    <numFmt numFmtId="165" formatCode="&quot;$&quot;#,##0.00"/>
    <numFmt numFmtId="166" formatCode="[&gt;=1000000]&quot;$&quot;0.0,,&quot;M&quot;;[&gt;=1000]&quot;$&quot;0.0,&quot;K&quot;;0"/>
    <numFmt numFmtId="167" formatCode="[&gt;=1000000]0.0,,&quot;M&quot;;[&gt;=1000]0.0,&quot;K&quot;;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19"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numFmt numFmtId="164" formatCode="mm/dd/yy;@"/>
    </dxf>
    <dxf>
      <numFmt numFmtId="164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D-4CE3-8B22-09182C0A3E4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D-4CE3-8B22-09182C0A3E4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7D-4CE3-8B22-09182C0A3E4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D-4CE3-8B22-09182C0A3E4F}"/>
              </c:ext>
            </c:extLst>
          </c:dPt>
          <c:cat>
            <c:strRef>
              <c:f>Analysis!$A$4:$A$9</c:f>
              <c:strCache>
                <c:ptCount val="5"/>
                <c:pt idx="0">
                  <c:v>Company D</c:v>
                </c:pt>
                <c:pt idx="1">
                  <c:v>Company H</c:v>
                </c:pt>
                <c:pt idx="2">
                  <c:v>Company BB</c:v>
                </c:pt>
                <c:pt idx="3">
                  <c:v>Company F</c:v>
                </c:pt>
                <c:pt idx="4">
                  <c:v>Company A</c:v>
                </c:pt>
              </c:strCache>
            </c:strRef>
          </c:cat>
          <c:val>
            <c:numRef>
              <c:f>Analysis!$B$4:$B$9</c:f>
              <c:numCache>
                <c:formatCode>[&gt;=1000000]"$"0.0,,"M";[&gt;=1000]"$"0.0,"K";0</c:formatCode>
                <c:ptCount val="5"/>
                <c:pt idx="0">
                  <c:v>67180.5</c:v>
                </c:pt>
                <c:pt idx="1">
                  <c:v>50198.35</c:v>
                </c:pt>
                <c:pt idx="2">
                  <c:v>43703</c:v>
                </c:pt>
                <c:pt idx="3">
                  <c:v>37418</c:v>
                </c:pt>
                <c:pt idx="4">
                  <c:v>36839.990000000005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D-4CE3-8B22-09182C0A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97072"/>
        <c:axId val="911083344"/>
      </c:barChart>
      <c:catAx>
        <c:axId val="911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3344"/>
        <c:crosses val="autoZero"/>
        <c:auto val="1"/>
        <c:lblAlgn val="ctr"/>
        <c:lblOffset val="100"/>
        <c:noMultiLvlLbl val="0"/>
      </c:catAx>
      <c:valAx>
        <c:axId val="91108334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9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Cities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5-47A8-A120-AA9D9BE10FF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E5-47A8-A120-AA9D9BE10FF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5-47A8-A120-AA9D9BE10FF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E5-47A8-A120-AA9D9BE10FF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5-47A8-A120-AA9D9BE10FF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E5-47A8-A120-AA9D9BE10FFF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E5-47A8-A120-AA9D9BE10FF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6E5-47A8-A120-AA9D9BE10FFF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E5-47A8-A120-AA9D9BE10FFF}"/>
              </c:ext>
            </c:extLst>
          </c:dPt>
          <c:cat>
            <c:strRef>
              <c:f>Analysis!$D$4:$D$16</c:f>
              <c:strCache>
                <c:ptCount val="12"/>
                <c:pt idx="0">
                  <c:v>New York</c:v>
                </c:pt>
                <c:pt idx="1">
                  <c:v>Portland</c:v>
                </c:pt>
                <c:pt idx="2">
                  <c:v>Miami</c:v>
                </c:pt>
                <c:pt idx="3">
                  <c:v>Memphis</c:v>
                </c:pt>
                <c:pt idx="4">
                  <c:v>Chicago</c:v>
                </c:pt>
                <c:pt idx="5">
                  <c:v>Milwaukee</c:v>
                </c:pt>
                <c:pt idx="6">
                  <c:v>Seattle</c:v>
                </c:pt>
                <c:pt idx="7">
                  <c:v>Salt Lake City</c:v>
                </c:pt>
                <c:pt idx="8">
                  <c:v>Los Angelas</c:v>
                </c:pt>
                <c:pt idx="9">
                  <c:v>Boise</c:v>
                </c:pt>
                <c:pt idx="10">
                  <c:v>Denver</c:v>
                </c:pt>
                <c:pt idx="11">
                  <c:v>Las Vegas</c:v>
                </c:pt>
              </c:strCache>
            </c:strRef>
          </c:cat>
          <c:val>
            <c:numRef>
              <c:f>Analysis!$E$4:$E$16</c:f>
              <c:numCache>
                <c:formatCode>[&gt;=1000000]"$"0.0,,"M";[&gt;=1000]"$"0.0,"K";0</c:formatCode>
                <c:ptCount val="12"/>
                <c:pt idx="0">
                  <c:v>67180.5</c:v>
                </c:pt>
                <c:pt idx="1">
                  <c:v>50198.35</c:v>
                </c:pt>
                <c:pt idx="2">
                  <c:v>50145.330000000009</c:v>
                </c:pt>
                <c:pt idx="3">
                  <c:v>43703</c:v>
                </c:pt>
                <c:pt idx="4">
                  <c:v>41095.01</c:v>
                </c:pt>
                <c:pt idx="5">
                  <c:v>37418</c:v>
                </c:pt>
                <c:pt idx="6">
                  <c:v>36839.990000000005</c:v>
                </c:pt>
                <c:pt idx="7">
                  <c:v>32530.6</c:v>
                </c:pt>
                <c:pt idx="8">
                  <c:v>27005.38</c:v>
                </c:pt>
                <c:pt idx="9">
                  <c:v>17204</c:v>
                </c:pt>
                <c:pt idx="10">
                  <c:v>16350.5</c:v>
                </c:pt>
                <c:pt idx="11">
                  <c:v>15365.5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5-47A8-A120-AA9D9BE1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5"/>
        <c:overlap val="-54"/>
        <c:axId val="911115376"/>
        <c:axId val="911122864"/>
      </c:barChart>
      <c:catAx>
        <c:axId val="9111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22864"/>
        <c:crosses val="autoZero"/>
        <c:auto val="1"/>
        <c:lblAlgn val="ctr"/>
        <c:lblOffset val="100"/>
        <c:noMultiLvlLbl val="0"/>
      </c:catAx>
      <c:valAx>
        <c:axId val="91112286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</a:t>
            </a:r>
            <a:r>
              <a:rPr lang="en-US" baseline="0"/>
              <a:t>s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66-495F-8B32-9D3375EF736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6-495F-8B32-9D3375EF736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66-495F-8B32-9D3375EF736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6-495F-8B32-9D3375EF736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66-495F-8B32-9D3375EF736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6-495F-8B32-9D3375EF7365}"/>
              </c:ext>
            </c:extLst>
          </c:dPt>
          <c:cat>
            <c:strRef>
              <c:f>Analysis!$G$4:$G$12</c:f>
              <c:strCache>
                <c:ptCount val="8"/>
                <c:pt idx="0">
                  <c:v>Nancy Freehafer</c:v>
                </c:pt>
                <c:pt idx="1">
                  <c:v>Anne Larsen</c:v>
                </c:pt>
                <c:pt idx="2">
                  <c:v>Andrew Cencini</c:v>
                </c:pt>
                <c:pt idx="3">
                  <c:v>Mariya Sergienko</c:v>
                </c:pt>
                <c:pt idx="4">
                  <c:v>Laura Giussani</c:v>
                </c:pt>
                <c:pt idx="5">
                  <c:v>Michael Neipper</c:v>
                </c:pt>
                <c:pt idx="6">
                  <c:v>Robert Zare</c:v>
                </c:pt>
                <c:pt idx="7">
                  <c:v>Jan Kotas</c:v>
                </c:pt>
              </c:strCache>
            </c:strRef>
          </c:cat>
          <c:val>
            <c:numRef>
              <c:f>Analysis!$H$4:$H$12</c:f>
              <c:numCache>
                <c:formatCode>[&gt;=1000000]"$"0.0,,"M";[&gt;=1000]"$"0.0,"K";0</c:formatCode>
                <c:ptCount val="8"/>
                <c:pt idx="0">
                  <c:v>104242.33999999997</c:v>
                </c:pt>
                <c:pt idx="1">
                  <c:v>93848.329999999987</c:v>
                </c:pt>
                <c:pt idx="2">
                  <c:v>67180.5</c:v>
                </c:pt>
                <c:pt idx="3">
                  <c:v>42370.880000000005</c:v>
                </c:pt>
                <c:pt idx="4">
                  <c:v>41095.01</c:v>
                </c:pt>
                <c:pt idx="5">
                  <c:v>37418</c:v>
                </c:pt>
                <c:pt idx="6">
                  <c:v>32530.6</c:v>
                </c:pt>
                <c:pt idx="7">
                  <c:v>16350.5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95F-8B32-9D3375EF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029872"/>
        <c:axId val="902030288"/>
      </c:barChart>
      <c:catAx>
        <c:axId val="90202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30288"/>
        <c:crosses val="autoZero"/>
        <c:auto val="1"/>
        <c:lblAlgn val="ctr"/>
        <c:lblOffset val="100"/>
        <c:noMultiLvlLbl val="0"/>
      </c:catAx>
      <c:valAx>
        <c:axId val="902030288"/>
        <c:scaling>
          <c:orientation val="minMax"/>
        </c:scaling>
        <c:delete val="0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2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1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3-41BC-A269-254178D23D16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3-41BC-A269-254178D23D16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E3-41BC-A269-254178D23D16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E3-41BC-A269-254178D23D16}"/>
              </c:ext>
            </c:extLst>
          </c:dPt>
          <c:dLbls>
            <c:dLbl>
              <c:idx val="0"/>
              <c:layout>
                <c:manualLayout>
                  <c:x val="0.11269564741907262"/>
                  <c:y val="-5.10163312919218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E3-41BC-A269-254178D23D16}"/>
                </c:ext>
              </c:extLst>
            </c:dLbl>
            <c:dLbl>
              <c:idx val="1"/>
              <c:layout>
                <c:manualLayout>
                  <c:x val="0.11103368328958881"/>
                  <c:y val="5.84999270924467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44444444444445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2E3-41BC-A269-254178D23D16}"/>
                </c:ext>
              </c:extLst>
            </c:dLbl>
            <c:dLbl>
              <c:idx val="2"/>
              <c:layout>
                <c:manualLayout>
                  <c:x val="-2.8915354330708659E-2"/>
                  <c:y val="8.2785797608632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44444444444446"/>
                      <c:h val="0.161967774861475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2E3-41BC-A269-254178D23D16}"/>
                </c:ext>
              </c:extLst>
            </c:dLbl>
            <c:dLbl>
              <c:idx val="3"/>
              <c:layout>
                <c:manualLayout>
                  <c:x val="-6.5741797900262466E-2"/>
                  <c:y val="2.76031641878098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E3-41BC-A269-254178D23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Analysis!$A$24:$A$28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Analysis!$B$24:$B$28</c:f>
              <c:numCache>
                <c:formatCode>[&gt;=1000000]"$"0.0,,"M";[&gt;=1000]"$"0.0,"K";0</c:formatCode>
                <c:ptCount val="4"/>
                <c:pt idx="0">
                  <c:v>141660.33999999997</c:v>
                </c:pt>
                <c:pt idx="1">
                  <c:v>108275.51</c:v>
                </c:pt>
                <c:pt idx="2">
                  <c:v>93848.329999999987</c:v>
                </c:pt>
                <c:pt idx="3">
                  <c:v>91251.979999999981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E3-41BC-A269-254178D23D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736220472441"/>
          <c:y val="0.18036745406824148"/>
          <c:w val="0.40047572178477692"/>
          <c:h val="0.66745953630796151"/>
        </c:manualLayout>
      </c:layout>
      <c:pieChart>
        <c:varyColors val="1"/>
        <c:ser>
          <c:idx val="0"/>
          <c:order val="0"/>
          <c:tx>
            <c:strRef>
              <c:f>Analysis!$H$23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glow>
                <a:schemeClr val="accent1">
                  <a:alpha val="33000"/>
                </a:schemeClr>
              </a:glow>
            </a:effectLst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161E-4F73-AC78-7B07354B8FA5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161E-4F73-AC78-7B07354B8FA5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161E-4F73-AC78-7B07354B8FA5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161E-4F73-AC78-7B07354B8FA5}"/>
              </c:ext>
            </c:extLst>
          </c:dPt>
          <c:dPt>
            <c:idx val="4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161E-4F73-AC78-7B07354B8FA5}"/>
              </c:ext>
            </c:extLst>
          </c:dPt>
          <c:dLbls>
            <c:dLbl>
              <c:idx val="0"/>
              <c:layout>
                <c:manualLayout>
                  <c:x val="4.8397965879265092E-2"/>
                  <c:y val="-1.6819407990667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1111111111111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61E-4F73-AC78-7B07354B8FA5}"/>
                </c:ext>
              </c:extLst>
            </c:dLbl>
            <c:dLbl>
              <c:idx val="1"/>
              <c:layout>
                <c:manualLayout>
                  <c:x val="0.14914763779527559"/>
                  <c:y val="-7.6754155730533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1E-4F73-AC78-7B07354B8FA5}"/>
                </c:ext>
              </c:extLst>
            </c:dLbl>
            <c:dLbl>
              <c:idx val="2"/>
              <c:layout>
                <c:manualLayout>
                  <c:x val="-5.5352362204724406E-2"/>
                  <c:y val="-2.46941528142315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1E-4F73-AC78-7B07354B8FA5}"/>
                </c:ext>
              </c:extLst>
            </c:dLbl>
            <c:dLbl>
              <c:idx val="3"/>
              <c:layout>
                <c:manualLayout>
                  <c:x val="-5.1034886264216976E-2"/>
                  <c:y val="-8.089457567804023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1E-4F73-AC78-7B07354B8FA5}"/>
                </c:ext>
              </c:extLst>
            </c:dLbl>
            <c:dLbl>
              <c:idx val="4"/>
              <c:layout>
                <c:manualLayout>
                  <c:x val="-6.4829724409448813E-2"/>
                  <c:y val="-1.30526392534266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1E-4F73-AC78-7B07354B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Analysis!$G$24:$G$29</c:f>
              <c:strCache>
                <c:ptCount val="5"/>
                <c:pt idx="0">
                  <c:v>Coffee</c:v>
                </c:pt>
                <c:pt idx="1">
                  <c:v>Curry Sauce</c:v>
                </c:pt>
                <c:pt idx="2">
                  <c:v>Marmalade</c:v>
                </c:pt>
                <c:pt idx="3">
                  <c:v>Mozzarella</c:v>
                </c:pt>
                <c:pt idx="4">
                  <c:v>Crab Meat</c:v>
                </c:pt>
              </c:strCache>
            </c:strRef>
          </c:cat>
          <c:val>
            <c:numRef>
              <c:f>Analysis!$H$24:$H$29</c:f>
              <c:numCache>
                <c:formatCode>[&gt;=1000000]"$"0.0,,"M";[&gt;=1000]"$"0.0,"K";0</c:formatCode>
                <c:ptCount val="5"/>
                <c:pt idx="0">
                  <c:v>75486</c:v>
                </c:pt>
                <c:pt idx="1">
                  <c:v>69000</c:v>
                </c:pt>
                <c:pt idx="2">
                  <c:v>41391</c:v>
                </c:pt>
                <c:pt idx="3">
                  <c:v>33129.600000000006</c:v>
                </c:pt>
                <c:pt idx="4">
                  <c:v>25465.599999999999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1E-4F73-AC78-7B07354B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By</a:t>
            </a:r>
            <a:r>
              <a:rPr lang="en-US" baseline="0"/>
              <a:t> Revenue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Analysis!$E$23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B-43FC-9FAB-A4073ABEBB5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B-43FC-9FAB-A4073ABEBB5F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4B-43FC-9FAB-A4073ABEBB5F}"/>
              </c:ext>
            </c:extLst>
          </c:dPt>
          <c:dLbls>
            <c:dLbl>
              <c:idx val="0"/>
              <c:layout>
                <c:manualLayout>
                  <c:x val="0.14444444444444443"/>
                  <c:y val="-6.0185185185185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88888888888889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84B-43FC-9FAB-A4073ABEBB5F}"/>
                </c:ext>
              </c:extLst>
            </c:dLbl>
            <c:dLbl>
              <c:idx val="1"/>
              <c:layout>
                <c:manualLayout>
                  <c:x val="0.2583333333333333"/>
                  <c:y val="1.85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99999999999999"/>
                      <c:h val="0.12956036745406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4B-43FC-9FAB-A4073ABEBB5F}"/>
                </c:ext>
              </c:extLst>
            </c:dLbl>
            <c:dLbl>
              <c:idx val="2"/>
              <c:layout>
                <c:manualLayout>
                  <c:x val="-8.0555555555555575E-2"/>
                  <c:y val="-7.17590769903762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55555555555536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84B-43FC-9FAB-A4073ABEB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Analysis!$D$24:$D$27</c:f>
              <c:strCache>
                <c:ptCount val="3"/>
                <c:pt idx="0">
                  <c:v>Shipping Company A</c:v>
                </c:pt>
                <c:pt idx="1">
                  <c:v>Shipping Company B</c:v>
                </c:pt>
                <c:pt idx="2">
                  <c:v>Shipping Company C</c:v>
                </c:pt>
              </c:strCache>
            </c:strRef>
          </c:cat>
          <c:val>
            <c:numRef>
              <c:f>Analysis!$E$24:$E$27</c:f>
              <c:numCache>
                <c:formatCode>[&gt;=1000000]"$"0.0,,"M";[&gt;=1000]"$"0.0,"K";0</c:formatCode>
                <c:ptCount val="3"/>
                <c:pt idx="0">
                  <c:v>124206.20000000003</c:v>
                </c:pt>
                <c:pt idx="1">
                  <c:v>117424.70999999999</c:v>
                </c:pt>
                <c:pt idx="2">
                  <c:v>136030.12999999998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B-43FC-9FAB-A4073ABEB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133350</xdr:rowOff>
    </xdr:from>
    <xdr:to>
      <xdr:col>19</xdr:col>
      <xdr:colOff>158750</xdr:colOff>
      <xdr:row>5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C9D33C-9211-50DE-5899-E8FC8F30CD07}"/>
            </a:ext>
          </a:extLst>
        </xdr:cNvPr>
        <xdr:cNvSpPr/>
      </xdr:nvSpPr>
      <xdr:spPr>
        <a:xfrm>
          <a:off x="158750" y="133350"/>
          <a:ext cx="11582400" cy="8509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FRANGLE SALES</a:t>
          </a:r>
          <a:r>
            <a:rPr lang="en-US" sz="2400" baseline="0"/>
            <a:t> PERFORMANCE ANALYSIS FOR YEAR 2014</a:t>
          </a:r>
          <a:endParaRPr lang="en-US" sz="2400"/>
        </a:p>
      </xdr:txBody>
    </xdr:sp>
    <xdr:clientData/>
  </xdr:twoCellAnchor>
  <xdr:twoCellAnchor>
    <xdr:from>
      <xdr:col>0</xdr:col>
      <xdr:colOff>514350</xdr:colOff>
      <xdr:row>7</xdr:row>
      <xdr:rowOff>12700</xdr:rowOff>
    </xdr:from>
    <xdr:to>
      <xdr:col>4</xdr:col>
      <xdr:colOff>146050</xdr:colOff>
      <xdr:row>12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CC7EDE-38A1-1873-28F6-89379FD597CE}"/>
            </a:ext>
          </a:extLst>
        </xdr:cNvPr>
        <xdr:cNvSpPr/>
      </xdr:nvSpPr>
      <xdr:spPr>
        <a:xfrm>
          <a:off x="5143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323850</xdr:colOff>
      <xdr:row>6</xdr:row>
      <xdr:rowOff>177800</xdr:rowOff>
    </xdr:from>
    <xdr:to>
      <xdr:col>8</xdr:col>
      <xdr:colOff>565150</xdr:colOff>
      <xdr:row>12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DF09D4-C45C-9E24-F0BB-925775C39FE6}"/>
            </a:ext>
          </a:extLst>
        </xdr:cNvPr>
        <xdr:cNvSpPr/>
      </xdr:nvSpPr>
      <xdr:spPr>
        <a:xfrm>
          <a:off x="3371850" y="128270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82550</xdr:colOff>
      <xdr:row>7</xdr:row>
      <xdr:rowOff>12700</xdr:rowOff>
    </xdr:from>
    <xdr:to>
      <xdr:col>13</xdr:col>
      <xdr:colOff>323850</xdr:colOff>
      <xdr:row>12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B951E3E-97C0-7A4D-D87D-BD4C01887A15}"/>
            </a:ext>
          </a:extLst>
        </xdr:cNvPr>
        <xdr:cNvSpPr/>
      </xdr:nvSpPr>
      <xdr:spPr>
        <a:xfrm>
          <a:off x="61785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495300</xdr:colOff>
      <xdr:row>6</xdr:row>
      <xdr:rowOff>171450</xdr:rowOff>
    </xdr:from>
    <xdr:to>
      <xdr:col>18</xdr:col>
      <xdr:colOff>127000</xdr:colOff>
      <xdr:row>12</xdr:row>
      <xdr:rowOff>146050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CC5ECE7-E1A8-0371-02DA-C2ECB505A3BE}"/>
            </a:ext>
          </a:extLst>
        </xdr:cNvPr>
        <xdr:cNvSpPr/>
      </xdr:nvSpPr>
      <xdr:spPr>
        <a:xfrm>
          <a:off x="9029700" y="12763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</xdr:colOff>
      <xdr:row>7</xdr:row>
      <xdr:rowOff>76200</xdr:rowOff>
    </xdr:from>
    <xdr:to>
      <xdr:col>4</xdr:col>
      <xdr:colOff>44450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545063-F514-3E92-9064-961EFB581089}"/>
            </a:ext>
          </a:extLst>
        </xdr:cNvPr>
        <xdr:cNvSpPr/>
      </xdr:nvSpPr>
      <xdr:spPr>
        <a:xfrm>
          <a:off x="660400" y="13652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REVENUE</a:t>
          </a:r>
        </a:p>
      </xdr:txBody>
    </xdr:sp>
    <xdr:clientData/>
  </xdr:twoCellAnchor>
  <xdr:twoCellAnchor>
    <xdr:from>
      <xdr:col>1</xdr:col>
      <xdr:colOff>44450</xdr:colOff>
      <xdr:row>9</xdr:row>
      <xdr:rowOff>120650</xdr:rowOff>
    </xdr:from>
    <xdr:to>
      <xdr:col>4</xdr:col>
      <xdr:colOff>38100</xdr:colOff>
      <xdr:row>12</xdr:row>
      <xdr:rowOff>63500</xdr:rowOff>
    </xdr:to>
    <xdr:sp macro="" textlink="Analysis!D43">
      <xdr:nvSpPr>
        <xdr:cNvPr id="9" name="Rectangle 8">
          <a:extLst>
            <a:ext uri="{FF2B5EF4-FFF2-40B4-BE49-F238E27FC236}">
              <a16:creationId xmlns:a16="http://schemas.microsoft.com/office/drawing/2014/main" id="{93C2106A-8D5E-60DA-052E-3DE420E8856D}"/>
            </a:ext>
          </a:extLst>
        </xdr:cNvPr>
        <xdr:cNvSpPr/>
      </xdr:nvSpPr>
      <xdr:spPr>
        <a:xfrm>
          <a:off x="654050" y="17780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D09DE95-5537-4294-BB74-701775A4F7B2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$435.0K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oneCellAnchor>
    <xdr:from>
      <xdr:col>2</xdr:col>
      <xdr:colOff>12700</xdr:colOff>
      <xdr:row>10</xdr:row>
      <xdr:rowOff>95250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F7EF7C-09B3-7648-57E1-E340A97D5812}"/>
            </a:ext>
          </a:extLst>
        </xdr:cNvPr>
        <xdr:cNvSpPr txBox="1"/>
      </xdr:nvSpPr>
      <xdr:spPr>
        <a:xfrm>
          <a:off x="1231900" y="19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95250</xdr:colOff>
      <xdr:row>10</xdr:row>
      <xdr:rowOff>139700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A77CB2-BE84-0054-8E4A-4CEE56C8BAB3}"/>
            </a:ext>
          </a:extLst>
        </xdr:cNvPr>
        <xdr:cNvSpPr txBox="1"/>
      </xdr:nvSpPr>
      <xdr:spPr>
        <a:xfrm>
          <a:off x="1924050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444500</xdr:colOff>
      <xdr:row>8</xdr:row>
      <xdr:rowOff>12700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ECBFE4-CF33-6D71-C930-6356B839B0DE}"/>
            </a:ext>
          </a:extLst>
        </xdr:cNvPr>
        <xdr:cNvSpPr txBox="1"/>
      </xdr:nvSpPr>
      <xdr:spPr>
        <a:xfrm>
          <a:off x="2273300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444500</xdr:colOff>
      <xdr:row>9</xdr:row>
      <xdr:rowOff>152400</xdr:rowOff>
    </xdr:from>
    <xdr:to>
      <xdr:col>8</xdr:col>
      <xdr:colOff>438150</xdr:colOff>
      <xdr:row>12</xdr:row>
      <xdr:rowOff>95250</xdr:rowOff>
    </xdr:to>
    <xdr:sp macro="" textlink="Analysis!E43">
      <xdr:nvSpPr>
        <xdr:cNvPr id="13" name="Rectangle 12">
          <a:extLst>
            <a:ext uri="{FF2B5EF4-FFF2-40B4-BE49-F238E27FC236}">
              <a16:creationId xmlns:a16="http://schemas.microsoft.com/office/drawing/2014/main" id="{D1EB37DF-CA36-60E3-8566-A1F763E13851}"/>
            </a:ext>
          </a:extLst>
        </xdr:cNvPr>
        <xdr:cNvSpPr/>
      </xdr:nvSpPr>
      <xdr:spPr>
        <a:xfrm>
          <a:off x="3492500" y="180975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CBA72EB-572D-4C02-A5E1-73805A16A91C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$7.8K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444500</xdr:colOff>
      <xdr:row>7</xdr:row>
      <xdr:rowOff>101600</xdr:rowOff>
    </xdr:from>
    <xdr:to>
      <xdr:col>8</xdr:col>
      <xdr:colOff>438150</xdr:colOff>
      <xdr:row>9</xdr:row>
      <xdr:rowOff>25400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1004702-19D4-047F-12AD-4F4D4B044FD1}"/>
            </a:ext>
          </a:extLst>
        </xdr:cNvPr>
        <xdr:cNvSpPr/>
      </xdr:nvSpPr>
      <xdr:spPr>
        <a:xfrm>
          <a:off x="349250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UNIT</a:t>
          </a:r>
          <a:r>
            <a:rPr lang="en-US" sz="1600" baseline="0"/>
            <a:t> PRICE</a:t>
          </a:r>
          <a:endParaRPr lang="en-US" sz="1600"/>
        </a:p>
      </xdr:txBody>
    </xdr:sp>
    <xdr:clientData/>
  </xdr:twoCellAnchor>
  <xdr:oneCellAnchor>
    <xdr:from>
      <xdr:col>8</xdr:col>
      <xdr:colOff>177800</xdr:colOff>
      <xdr:row>8</xdr:row>
      <xdr:rowOff>127000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1F1A4F2-805E-6431-0F61-911D940C6C1E}"/>
            </a:ext>
          </a:extLst>
        </xdr:cNvPr>
        <xdr:cNvSpPr txBox="1"/>
      </xdr:nvSpPr>
      <xdr:spPr>
        <a:xfrm>
          <a:off x="50546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234950</xdr:colOff>
      <xdr:row>7</xdr:row>
      <xdr:rowOff>101600</xdr:rowOff>
    </xdr:from>
    <xdr:to>
      <xdr:col>13</xdr:col>
      <xdr:colOff>228600</xdr:colOff>
      <xdr:row>9</xdr:row>
      <xdr:rowOff>25400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7EA4F48-C719-ED9E-157B-54FAEF4DD886}"/>
            </a:ext>
          </a:extLst>
        </xdr:cNvPr>
        <xdr:cNvSpPr/>
      </xdr:nvSpPr>
      <xdr:spPr>
        <a:xfrm>
          <a:off x="63309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QUANTITY</a:t>
          </a:r>
        </a:p>
      </xdr:txBody>
    </xdr:sp>
    <xdr:clientData/>
  </xdr:twoCellAnchor>
  <xdr:twoCellAnchor>
    <xdr:from>
      <xdr:col>10</xdr:col>
      <xdr:colOff>234950</xdr:colOff>
      <xdr:row>9</xdr:row>
      <xdr:rowOff>171450</xdr:rowOff>
    </xdr:from>
    <xdr:to>
      <xdr:col>13</xdr:col>
      <xdr:colOff>228600</xdr:colOff>
      <xdr:row>12</xdr:row>
      <xdr:rowOff>114300</xdr:rowOff>
    </xdr:to>
    <xdr:sp macro="" textlink="Analysis!F43">
      <xdr:nvSpPr>
        <xdr:cNvPr id="17" name="Rectangle 16">
          <a:extLst>
            <a:ext uri="{FF2B5EF4-FFF2-40B4-BE49-F238E27FC236}">
              <a16:creationId xmlns:a16="http://schemas.microsoft.com/office/drawing/2014/main" id="{2B69D39D-26CB-E04D-748B-4ACF4002A308}"/>
            </a:ext>
          </a:extLst>
        </xdr:cNvPr>
        <xdr:cNvSpPr/>
      </xdr:nvSpPr>
      <xdr:spPr>
        <a:xfrm>
          <a:off x="6330950" y="18288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69ECE3B-9EBD-4A01-A2AC-7AB238717514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20.6K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9</xdr:row>
      <xdr:rowOff>133350</xdr:rowOff>
    </xdr:from>
    <xdr:to>
      <xdr:col>18</xdr:col>
      <xdr:colOff>12700</xdr:colOff>
      <xdr:row>12</xdr:row>
      <xdr:rowOff>76200</xdr:rowOff>
    </xdr:to>
    <xdr:sp macro="" textlink="Analysis!G43">
      <xdr:nvSpPr>
        <xdr:cNvPr id="18" name="Rectangle 17">
          <a:extLst>
            <a:ext uri="{FF2B5EF4-FFF2-40B4-BE49-F238E27FC236}">
              <a16:creationId xmlns:a16="http://schemas.microsoft.com/office/drawing/2014/main" id="{DA193890-F2E6-901D-BA35-B4AD10FB9506}"/>
            </a:ext>
          </a:extLst>
        </xdr:cNvPr>
        <xdr:cNvSpPr/>
      </xdr:nvSpPr>
      <xdr:spPr>
        <a:xfrm>
          <a:off x="9163050" y="17907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1F38A49-B28F-4D0C-AE78-2C668B88222F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$43.7K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31750</xdr:colOff>
      <xdr:row>7</xdr:row>
      <xdr:rowOff>101600</xdr:rowOff>
    </xdr:from>
    <xdr:to>
      <xdr:col>18</xdr:col>
      <xdr:colOff>25400</xdr:colOff>
      <xdr:row>9</xdr:row>
      <xdr:rowOff>25400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986EA19-5DE3-5174-A099-835191B19034}"/>
            </a:ext>
          </a:extLst>
        </xdr:cNvPr>
        <xdr:cNvSpPr/>
      </xdr:nvSpPr>
      <xdr:spPr>
        <a:xfrm>
          <a:off x="91757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 SHIPPING</a:t>
          </a:r>
          <a:r>
            <a:rPr lang="en-US" sz="1400" baseline="0"/>
            <a:t> FEE</a:t>
          </a:r>
          <a:endParaRPr lang="en-US" sz="1400"/>
        </a:p>
      </xdr:txBody>
    </xdr:sp>
    <xdr:clientData/>
  </xdr:twoCellAnchor>
  <xdr:twoCellAnchor>
    <xdr:from>
      <xdr:col>0</xdr:col>
      <xdr:colOff>412750</xdr:colOff>
      <xdr:row>14</xdr:row>
      <xdr:rowOff>57150</xdr:rowOff>
    </xdr:from>
    <xdr:to>
      <xdr:col>6</xdr:col>
      <xdr:colOff>107950</xdr:colOff>
      <xdr:row>29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6C813A7-03BA-4B21-84F2-2CAD88FE5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14</xdr:row>
      <xdr:rowOff>57150</xdr:rowOff>
    </xdr:from>
    <xdr:to>
      <xdr:col>12</xdr:col>
      <xdr:colOff>139700</xdr:colOff>
      <xdr:row>29</xdr:row>
      <xdr:rowOff>25400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30D248A-E56C-4D89-A8D3-5FCC9704D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14</xdr:row>
      <xdr:rowOff>50800</xdr:rowOff>
    </xdr:from>
    <xdr:to>
      <xdr:col>19</xdr:col>
      <xdr:colOff>165100</xdr:colOff>
      <xdr:row>29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6A0751E-221C-4C85-B144-6F4E6063A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406401</xdr:colOff>
      <xdr:row>29</xdr:row>
      <xdr:rowOff>177800</xdr:rowOff>
    </xdr:from>
    <xdr:to>
      <xdr:col>6</xdr:col>
      <xdr:colOff>120651</xdr:colOff>
      <xdr:row>44</xdr:row>
      <xdr:rowOff>63500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D649F15-D781-46B5-BD22-94918E3A4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203201</xdr:colOff>
      <xdr:row>30</xdr:row>
      <xdr:rowOff>6350</xdr:rowOff>
    </xdr:from>
    <xdr:to>
      <xdr:col>12</xdr:col>
      <xdr:colOff>127001</xdr:colOff>
      <xdr:row>44</xdr:row>
      <xdr:rowOff>60326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C42A92A-76E6-4F02-9CA8-50069D674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298450</xdr:colOff>
      <xdr:row>30</xdr:row>
      <xdr:rowOff>6350</xdr:rowOff>
    </xdr:from>
    <xdr:to>
      <xdr:col>19</xdr:col>
      <xdr:colOff>152400</xdr:colOff>
      <xdr:row>44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8675063-1784-40CA-84F6-946386304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464635</xdr:colOff>
      <xdr:row>11</xdr:row>
      <xdr:rowOff>46464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CDE887-2271-F588-8D70-72D25DB14AF3}"/>
            </a:ext>
          </a:extLst>
        </xdr:cNvPr>
        <xdr:cNvSpPr txBox="1"/>
      </xdr:nvSpPr>
      <xdr:spPr>
        <a:xfrm>
          <a:off x="1068659" y="2090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6083.481602199077" createdVersion="8" refreshedVersion="8" minRefreshableVersion="3" recordCount="369" xr:uid="{FEFED9BF-33CF-4072-8943-4CAE9DDCF418}">
  <cacheSource type="worksheet">
    <worksheetSource ref="A3:Z372" sheet="Sheet1"/>
  </cacheSource>
  <cacheFields count="26">
    <cacheField name="Order ID" numFmtId="0">
      <sharedItems containsSemiMixedTypes="0" containsString="0" containsNumber="1" containsInteger="1" minValue="1001" maxValue="1432"/>
    </cacheField>
    <cacheField name="Order Date" numFmtId="164">
      <sharedItems containsSemiMixedTypes="0" containsNonDate="0" containsDate="1" containsString="0" minDate="2014-01-01T00:00:00" maxDate="2014-12-30T00:00:00" count="149">
        <d v="2014-01-27T00:00:00"/>
        <d v="2014-01-04T00:00:00"/>
        <d v="2014-01-12T00:00:00"/>
        <d v="2014-01-08T00:00:00"/>
        <d v="2014-01-29T00:00:00"/>
        <d v="2014-01-03T00:00:00"/>
        <d v="2014-01-06T00:00:00"/>
        <d v="2014-01-28T00:00:00"/>
        <d v="2014-01-10T00:00:00"/>
        <d v="2014-01-07T00:00:00"/>
        <d v="2014-01-11T00:00:00"/>
        <d v="2014-01-01T00:00:00"/>
        <d v="2014-01-09T00:00:00"/>
        <d v="2014-02-08T00:00:00"/>
        <d v="2014-02-03T00:00:00"/>
        <d v="2014-02-06T00:00:00"/>
        <d v="2014-02-28T00:00:00"/>
        <d v="2014-02-10T00:00:00"/>
        <d v="2014-02-11T00:00:00"/>
        <d v="2014-02-01T00:00:00"/>
        <d v="2014-02-09T00:00:00"/>
        <d v="2014-02-25T00:00:00"/>
        <d v="2014-02-26T00:00:00"/>
        <d v="2014-03-01T00:00:00"/>
        <d v="2014-02-04T00:00:00"/>
        <d v="2014-03-09T00:00:00"/>
        <d v="2014-03-06T00:00:00"/>
        <d v="2014-03-08T00:00:00"/>
        <d v="2014-03-25T00:00:00"/>
        <d v="2014-03-26T00:00:00"/>
        <d v="2014-03-29T00:00:00"/>
        <d v="2014-03-04T00:00:00"/>
        <d v="2014-03-03T00:00:00"/>
        <d v="2014-03-10T00:00:00"/>
        <d v="2014-03-11T00:00:00"/>
        <d v="2014-03-28T00:00:00"/>
        <d v="2014-04-04T00:00:00"/>
        <d v="2014-04-12T00:00:00"/>
        <d v="2014-04-08T00:00:00"/>
        <d v="2014-04-29T00:00:00"/>
        <d v="2014-04-03T00:00:00"/>
        <d v="2014-04-06T00:00:00"/>
        <d v="2014-04-28T00:00:00"/>
        <d v="2014-04-10T00:00:00"/>
        <d v="2014-04-07T00:00:00"/>
        <d v="2014-04-11T00:00:00"/>
        <d v="2014-04-01T00:00:00"/>
        <d v="2014-05-29T00:00:00"/>
        <d v="2014-05-03T00:00:00"/>
        <d v="2014-05-06T00:00:00"/>
        <d v="2014-05-28T00:00:00"/>
        <d v="2014-05-08T00:00:00"/>
        <d v="2014-05-10T00:00:00"/>
        <d v="2014-05-07T00:00:00"/>
        <d v="2014-05-11T00:00:00"/>
        <d v="2014-05-01T00:00:00"/>
        <d v="2014-05-09T00:00:00"/>
        <d v="2014-05-25T00:00:00"/>
        <d v="2014-05-26T00:00:00"/>
        <d v="2014-05-04T00:00:00"/>
        <d v="2014-06-07T00:00:00"/>
        <d v="2014-06-10T00:00:00"/>
        <d v="2014-06-11T00:00:00"/>
        <d v="2014-06-01T00:00:00"/>
        <d v="2014-06-28T00:00:00"/>
        <d v="2014-06-09T00:00:00"/>
        <d v="2014-06-06T00:00:00"/>
        <d v="2014-06-08T00:00:00"/>
        <d v="2014-06-25T00:00:00"/>
        <d v="2014-06-26T00:00:00"/>
        <d v="2014-06-29T00:00:00"/>
        <d v="2014-06-04T00:00:00"/>
        <d v="2014-06-03T00:00:00"/>
        <d v="2014-07-01T00:00:00"/>
        <d v="2014-07-28T00:00:00"/>
        <d v="2014-07-09T00:00:00"/>
        <d v="2014-07-06T00:00:00"/>
        <d v="2014-07-08T00:00:00"/>
        <d v="2014-07-25T00:00:00"/>
        <d v="2014-07-26T00:00:00"/>
        <d v="2014-07-29T00:00:00"/>
        <d v="2014-07-04T00:00:00"/>
        <d v="2014-07-03T00:00:00"/>
        <d v="2014-07-10T00:00:00"/>
        <d v="2014-07-11T00:00:00"/>
        <d v="2014-08-28T00:00:00"/>
        <d v="2014-08-08T00:00:00"/>
        <d v="2014-08-10T00:00:00"/>
        <d v="2014-08-07T00:00:00"/>
        <d v="2014-08-11T00:00:00"/>
        <d v="2014-08-01T00:00:00"/>
        <d v="2014-08-09T00:00:00"/>
        <d v="2014-08-06T00:00:00"/>
        <d v="2014-08-25T00:00:00"/>
        <d v="2014-08-26T00:00:00"/>
        <d v="2014-08-29T00:00:00"/>
        <d v="2014-08-04T00:00:00"/>
        <d v="2014-09-10T00:00:00"/>
        <d v="2014-09-11T00:00:00"/>
        <d v="2014-09-01T00:00:00"/>
        <d v="2014-09-28T00:00:00"/>
        <d v="2014-09-09T00:00:00"/>
        <d v="2014-09-06T00:00:00"/>
        <d v="2014-09-08T00:00:00"/>
        <d v="2014-09-25T00:00:00"/>
        <d v="2014-09-26T00:00:00"/>
        <d v="2014-09-29T00:00:00"/>
        <d v="2014-09-04T00:00:00"/>
        <d v="2014-09-03T00:00:00"/>
        <d v="2014-10-06T00:00:00"/>
        <d v="2014-10-28T00:00:00"/>
        <d v="2014-10-08T00:00:00"/>
        <d v="2014-10-10T00:00:00"/>
        <d v="2014-10-07T00:00:00"/>
        <d v="2014-10-11T00:00:00"/>
        <d v="2014-10-01T00:00:00"/>
        <d v="2014-10-09T00:00:00"/>
        <d v="2014-10-25T00:00:00"/>
        <d v="2014-10-26T00:00:00"/>
        <d v="2014-10-29T00:00:00"/>
        <d v="2014-10-04T00:00:00"/>
        <d v="2014-10-03T00:00:00"/>
        <d v="2014-11-10T00:00:00"/>
        <d v="2014-11-11T00:00:00"/>
        <d v="2014-11-01T00:00:00"/>
        <d v="2014-11-28T00:00:00"/>
        <d v="2014-11-09T00:00:00"/>
        <d v="2014-11-06T00:00:00"/>
        <d v="2014-11-08T00:00:00"/>
        <d v="2014-11-25T00:00:00"/>
        <d v="2014-11-26T00:00:00"/>
        <d v="2014-11-29T00:00:00"/>
        <d v="2014-11-04T00:00:00"/>
        <d v="2014-11-03T00:00:00"/>
        <d v="2014-12-27T00:00:00"/>
        <d v="2014-12-04T00:00:00"/>
        <d v="2014-12-12T00:00:00"/>
        <d v="2014-12-08T00:00:00"/>
        <d v="2014-12-29T00:00:00"/>
        <d v="2014-12-03T00:00:00"/>
        <d v="2014-12-06T00:00:00"/>
        <d v="2014-12-28T00:00:00"/>
        <d v="2014-12-10T00:00:00"/>
        <d v="2014-12-07T00:00:00"/>
        <d v="2014-12-11T00:00:00"/>
        <d v="2014-12-01T00:00:00"/>
        <d v="2014-12-09T00:00:00"/>
        <d v="2014-12-25T00:00:00"/>
        <d v="2014-12-26T00:00:00"/>
      </sharedItems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 count="15"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/>
    </cacheField>
    <cacheField name="City" numFmtId="0">
      <sharedItems count="12"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/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 count="4">
        <s v="West"/>
        <s v="East"/>
        <s v="North"/>
        <s v="South"/>
      </sharedItems>
    </cacheField>
    <cacheField name="Shipped Date" numFmtId="0">
      <sharedItems containsDate="1" containsString="0" containsBlank="1" containsMixedTypes="1" minDate="2014-01-05T00:00:00" maxDate="2014-12-09T00:00:00"/>
    </cacheField>
    <cacheField name="Shipper Name" numFmtId="0">
      <sharedItems containsBlank="1" count="4">
        <s v="Shipping Company B"/>
        <s v="Shipping Company A"/>
        <s v="Shipping Company C"/>
        <m/>
      </sharedItems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 count="1">
        <s v="USA"/>
      </sharedItems>
    </cacheField>
    <cacheField name="Payment Type" numFmtId="0">
      <sharedItems containsBlank="1"/>
    </cacheField>
    <cacheField name="Product Name" numFmtId="0">
      <sharedItems containsBlank="1" count="30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  <s v="Formula1" f="1"/>
        <s v="Formula2" f="1"/>
        <s v="Formula3" f="1"/>
        <s v="Formula4" f="1"/>
        <s v="Formula5" f="1"/>
      </sharedItems>
    </cacheField>
    <cacheField name="Category" numFmtId="0">
      <sharedItems containsBlank="1" count="15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m/>
        <s v="Fruit &amp; Veg"/>
        <s v="Oil"/>
        <s v="Grains"/>
      </sharedItems>
    </cacheField>
    <cacheField name="Unit Price" numFmtId="0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165">
      <sharedItems containsSemiMixedTypes="0" containsString="0" containsNumber="1" minValue="0" maxValue="7938"/>
    </cacheField>
    <cacheField name="Shipping Fee" numFmtId="165">
      <sharedItems containsSemiMixedTypes="0" containsString="0" containsNumber="1" minValue="3.7345000000000002" maxValue="769.98599999999999"/>
    </cacheField>
  </cacheFields>
  <calculatedItems count="5">
    <calculatedItem>
      <pivotArea cacheIndex="1" outline="0" fieldPosition="0">
        <references count="1">
          <reference field="20" count="1">
            <x v="25"/>
          </reference>
        </references>
      </pivotArea>
    </calculatedItem>
    <calculatedItem>
      <pivotArea cacheIndex="1" outline="0" fieldPosition="0">
        <references count="1">
          <reference field="20" count="1">
            <x v="26"/>
          </reference>
        </references>
      </pivotArea>
    </calculatedItem>
    <calculatedItem>
      <pivotArea cacheIndex="1" outline="0" fieldPosition="0">
        <references count="1">
          <reference field="20" count="1">
            <x v="27"/>
          </reference>
        </references>
      </pivotArea>
    </calculatedItem>
    <calculatedItem>
      <pivotArea cacheIndex="1" outline="0" fieldPosition="0">
        <references count="1">
          <reference field="20" count="1">
            <x v="28"/>
          </reference>
        </references>
      </pivotArea>
    </calculatedItem>
    <calculatedItem>
      <pivotArea cacheIndex="1" outline="0" fieldPosition="0">
        <references count="1">
          <reference field="20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001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0"/>
    <x v="0"/>
    <n v="14"/>
    <n v="49"/>
    <n v="686"/>
    <n v="66.542000000000002"/>
  </r>
  <r>
    <n v="1002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1"/>
    <x v="1"/>
    <n v="3.5"/>
    <n v="47"/>
    <n v="164.5"/>
    <n v="16.6145"/>
  </r>
  <r>
    <n v="1003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2"/>
    <x v="1"/>
    <n v="30"/>
    <n v="69"/>
    <n v="2070"/>
    <n v="198.72"/>
  </r>
  <r>
    <n v="1004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3"/>
    <x v="1"/>
    <n v="53"/>
    <n v="89"/>
    <n v="4717"/>
    <n v="448.11500000000001"/>
  </r>
  <r>
    <n v="1005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1"/>
    <x v="1"/>
    <n v="3.5"/>
    <n v="11"/>
    <n v="38.5"/>
    <n v="3.7345000000000002"/>
  </r>
  <r>
    <n v="1006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4"/>
    <x v="0"/>
    <n v="18"/>
    <n v="81"/>
    <n v="1458"/>
    <n v="141.42600000000002"/>
  </r>
  <r>
    <n v="1007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5"/>
    <x v="0"/>
    <n v="46"/>
    <n v="44"/>
    <n v="2024"/>
    <n v="198.352"/>
  </r>
  <r>
    <n v="1008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redit Card"/>
    <x v="6"/>
    <x v="2"/>
    <n v="9.1999999999999993"/>
    <n v="38"/>
    <n v="349.59999999999997"/>
    <n v="36.008800000000001"/>
  </r>
  <r>
    <n v="1009"/>
    <x v="1"/>
    <n v="4"/>
    <x v="1"/>
    <s v="123 4th Street"/>
    <x v="1"/>
    <s v="NY"/>
    <n v="99999"/>
    <s v="USA"/>
    <x v="1"/>
    <x v="1"/>
    <d v="2014-01-06T00:00:00"/>
    <x v="2"/>
    <s v="Christina Lee"/>
    <s v="123 4th Street"/>
    <s v="New York"/>
    <s v="NY"/>
    <n v="99999"/>
    <x v="0"/>
    <s v="Check"/>
    <x v="6"/>
    <x v="2"/>
    <n v="9.1999999999999993"/>
    <n v="88"/>
    <n v="809.59999999999991"/>
    <n v="79.340799999999987"/>
  </r>
  <r>
    <n v="1010"/>
    <x v="4"/>
    <n v="29"/>
    <x v="4"/>
    <s v="789 29th Street"/>
    <x v="3"/>
    <s v="CO"/>
    <n v="99999"/>
    <s v="USA"/>
    <x v="3"/>
    <x v="0"/>
    <d v="2014-01-31T00:00:00"/>
    <x v="0"/>
    <s v="Soo Jung Lee"/>
    <s v="789 29th Street"/>
    <s v="Denver"/>
    <s v="CO"/>
    <n v="99999"/>
    <x v="0"/>
    <s v="Check"/>
    <x v="7"/>
    <x v="3"/>
    <n v="12.75"/>
    <n v="94"/>
    <n v="1198.5"/>
    <n v="122.24700000000001"/>
  </r>
  <r>
    <n v="1011"/>
    <x v="5"/>
    <n v="3"/>
    <x v="5"/>
    <s v="123 3rd Street"/>
    <x v="4"/>
    <s v="CA"/>
    <n v="99999"/>
    <s v="USA"/>
    <x v="0"/>
    <x v="0"/>
    <d v="2014-01-05T00:00:00"/>
    <x v="0"/>
    <s v="Thomas Axerr"/>
    <s v="123 3rd Street"/>
    <s v="Los Angelas"/>
    <s v="CA"/>
    <n v="99999"/>
    <x v="0"/>
    <s v="Cash"/>
    <x v="8"/>
    <x v="4"/>
    <n v="9.65"/>
    <n v="91"/>
    <n v="878.15"/>
    <n v="92.205749999999995"/>
  </r>
  <r>
    <n v="1012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9"/>
    <x v="5"/>
    <n v="40"/>
    <n v="32"/>
    <n v="1280"/>
    <n v="133.12"/>
  </r>
  <r>
    <n v="1013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heck"/>
    <x v="5"/>
    <x v="0"/>
    <n v="46"/>
    <n v="55"/>
    <n v="2530"/>
    <n v="253"/>
  </r>
  <r>
    <n v="1014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heck"/>
    <x v="7"/>
    <x v="3"/>
    <n v="12.75"/>
    <n v="47"/>
    <n v="599.25"/>
    <n v="61.722750000000005"/>
  </r>
  <r>
    <n v="1015"/>
    <x v="8"/>
    <n v="10"/>
    <x v="8"/>
    <s v="123 10th Street"/>
    <x v="7"/>
    <s v="IL"/>
    <n v="99999"/>
    <s v="USA"/>
    <x v="6"/>
    <x v="1"/>
    <d v="2014-01-12T00:00:00"/>
    <x v="0"/>
    <s v="Roland Wacker"/>
    <s v="123 10th Street"/>
    <s v="Chicago"/>
    <s v="IL"/>
    <n v="99999"/>
    <x v="0"/>
    <s v="Credit Card"/>
    <x v="10"/>
    <x v="0"/>
    <n v="2.99"/>
    <n v="90"/>
    <n v="269.10000000000002"/>
    <n v="27.717300000000005"/>
  </r>
  <r>
    <n v="1016"/>
    <x v="9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24"/>
    <n v="1104"/>
    <n v="110.4"/>
  </r>
  <r>
    <n v="1017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1"/>
    <x v="6"/>
    <n v="25"/>
    <n v="34"/>
    <n v="850"/>
    <n v="80.75"/>
  </r>
  <r>
    <n v="1018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2"/>
    <x v="7"/>
    <n v="22"/>
    <n v="17"/>
    <n v="374"/>
    <n v="35.903999999999996"/>
  </r>
  <r>
    <n v="1019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6"/>
    <x v="2"/>
    <n v="9.1999999999999993"/>
    <n v="44"/>
    <n v="404.79999999999995"/>
    <n v="42.099199999999996"/>
  </r>
  <r>
    <n v="1020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81"/>
    <n v="283.5"/>
    <n v="27.499500000000001"/>
  </r>
  <r>
    <n v="1021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5.090530000000005"/>
  </r>
  <r>
    <n v="1022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5.600000000000009"/>
  </r>
  <r>
    <n v="1023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58"/>
    <n v="2668"/>
    <n v="269.46800000000002"/>
  </r>
  <r>
    <n v="1024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7"/>
    <n v="200.33"/>
    <n v="20.033000000000001"/>
  </r>
  <r>
    <n v="1025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8"/>
    <x v="4"/>
    <n v="9.65"/>
    <n v="100"/>
    <n v="965"/>
    <n v="93.605000000000004"/>
  </r>
  <r>
    <n v="1026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13"/>
    <x v="8"/>
    <n v="18.399999999999999"/>
    <n v="63"/>
    <n v="1159.1999999999998"/>
    <n v="114.76079999999999"/>
  </r>
  <r>
    <n v="1027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4"/>
    <x v="9"/>
    <n v="19.5"/>
    <n v="57"/>
    <n v="1111.5"/>
    <n v="110.0385"/>
  </r>
  <r>
    <n v="1028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5"/>
    <x v="10"/>
    <n v="34.799999999999997"/>
    <n v="81"/>
    <n v="2818.7999999999997"/>
    <n v="295.97399999999999"/>
  </r>
  <r>
    <n v="1029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0"/>
    <x v="0"/>
    <n v="14"/>
    <n v="71"/>
    <n v="994"/>
    <n v="95.424000000000007"/>
  </r>
  <r>
    <n v="1030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9"/>
    <x v="5"/>
    <n v="40"/>
    <n v="32"/>
    <n v="1280"/>
    <n v="129.28"/>
  </r>
  <r>
    <n v="1031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16"/>
    <x v="7"/>
    <n v="10"/>
    <n v="63"/>
    <n v="630"/>
    <n v="65.52"/>
  </r>
  <r>
    <n v="1032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9"/>
    <x v="5"/>
    <n v="40"/>
    <n v="30"/>
    <n v="1200"/>
    <n v="120"/>
  </r>
  <r>
    <n v="103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17"/>
    <x v="11"/>
    <m/>
    <m/>
    <n v="0"/>
    <n v="43"/>
  </r>
  <r>
    <n v="1034"/>
    <x v="16"/>
    <n v="28"/>
    <x v="7"/>
    <s v="789 28th Street"/>
    <x v="6"/>
    <s v="TN"/>
    <n v="99999"/>
    <s v="USA"/>
    <x v="5"/>
    <x v="3"/>
    <d v="2014-03-02T00:00:00"/>
    <x v="2"/>
    <s v="Amritansh Raghav"/>
    <s v="789 28th Street"/>
    <s v="Memphis"/>
    <s v="TN"/>
    <n v="99999"/>
    <x v="0"/>
    <s v="Check"/>
    <x v="17"/>
    <x v="11"/>
    <m/>
    <m/>
    <n v="0"/>
    <n v="31"/>
  </r>
  <r>
    <n v="1035"/>
    <x v="13"/>
    <n v="8"/>
    <x v="3"/>
    <s v="123 8th Street"/>
    <x v="2"/>
    <s v="OR"/>
    <n v="99999"/>
    <s v="USA"/>
    <x v="2"/>
    <x v="2"/>
    <d v="2014-02-10T00:00:00"/>
    <x v="2"/>
    <s v="Elizabeth Andersen"/>
    <s v="123 8th Street"/>
    <s v="Portland"/>
    <s v="OR"/>
    <n v="99999"/>
    <x v="0"/>
    <s v="Check"/>
    <x v="17"/>
    <x v="11"/>
    <m/>
    <m/>
    <n v="0"/>
    <n v="46"/>
  </r>
  <r>
    <n v="1036"/>
    <x v="17"/>
    <n v="10"/>
    <x v="8"/>
    <s v="123 10th Street"/>
    <x v="7"/>
    <s v="IL"/>
    <n v="99999"/>
    <s v="USA"/>
    <x v="6"/>
    <x v="1"/>
    <d v="2014-02-12T00:00:00"/>
    <x v="0"/>
    <s v="Roland Wacker"/>
    <s v="123 10th Street"/>
    <s v="Chicago"/>
    <s v="IL"/>
    <n v="99999"/>
    <x v="0"/>
    <s v="Credit Card"/>
    <x v="18"/>
    <x v="1"/>
    <n v="10"/>
    <n v="47"/>
    <n v="470"/>
    <n v="48.88"/>
  </r>
  <r>
    <n v="1038"/>
    <x v="17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49"/>
    <n v="171.5"/>
    <n v="16.464000000000002"/>
  </r>
  <r>
    <n v="1039"/>
    <x v="1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2"/>
    <n v="2880"/>
    <n v="285.12"/>
  </r>
  <r>
    <n v="1040"/>
    <x v="19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13"/>
    <n v="239.2"/>
    <n v="23.680800000000001"/>
  </r>
  <r>
    <n v="1041"/>
    <x v="16"/>
    <n v="28"/>
    <x v="7"/>
    <s v="789 28th Street"/>
    <x v="6"/>
    <s v="TN"/>
    <n v="99999"/>
    <s v="USA"/>
    <x v="5"/>
    <x v="3"/>
    <n v="41700"/>
    <x v="2"/>
    <s v="Amritansh Raghav"/>
    <s v="789 28th Street"/>
    <s v="Memphis"/>
    <s v="TN"/>
    <n v="99999"/>
    <x v="0"/>
    <s v="Credit Card"/>
    <x v="5"/>
    <x v="0"/>
    <n v="46"/>
    <n v="32"/>
    <n v="1472"/>
    <n v="148.67200000000003"/>
  </r>
  <r>
    <n v="1042"/>
    <x v="20"/>
    <n v="9"/>
    <x v="12"/>
    <s v="123 9th Street"/>
    <x v="11"/>
    <s v="UT"/>
    <n v="99999"/>
    <s v="USA"/>
    <x v="7"/>
    <x v="0"/>
    <d v="2014-02-11T00:00:00"/>
    <x v="1"/>
    <s v="Sven Mortensen"/>
    <s v="123 9th Street"/>
    <s v="Salt Lake City"/>
    <s v="UT"/>
    <n v="99999"/>
    <x v="0"/>
    <s v="Check"/>
    <x v="8"/>
    <x v="4"/>
    <n v="9.65"/>
    <n v="27"/>
    <n v="260.55"/>
    <n v="24.752250000000004"/>
  </r>
  <r>
    <n v="104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7"/>
    <x v="3"/>
    <n v="12.75"/>
    <n v="71"/>
    <n v="905.25"/>
    <n v="91.430250000000001"/>
  </r>
  <r>
    <n v="1044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7"/>
    <x v="3"/>
    <n v="12.75"/>
    <n v="13"/>
    <n v="165.75"/>
    <n v="15.746249999999998"/>
  </r>
  <r>
    <n v="1045"/>
    <x v="21"/>
    <n v="25"/>
    <x v="13"/>
    <s v="789 25th Street"/>
    <x v="7"/>
    <s v="IL"/>
    <n v="99999"/>
    <s v="USA"/>
    <x v="6"/>
    <x v="1"/>
    <d v="2014-02-27T00:00:00"/>
    <x v="1"/>
    <s v="John Rodman"/>
    <s v="789 25th Street"/>
    <s v="Chicago"/>
    <s v="IL"/>
    <n v="99999"/>
    <x v="0"/>
    <s v="Cash"/>
    <x v="12"/>
    <x v="7"/>
    <n v="22"/>
    <n v="98"/>
    <n v="2156"/>
    <n v="204.82000000000002"/>
  </r>
  <r>
    <n v="1046"/>
    <x v="22"/>
    <n v="26"/>
    <x v="14"/>
    <s v="789 26th Street"/>
    <x v="9"/>
    <s v="FL"/>
    <n v="99999"/>
    <s v="USA"/>
    <x v="5"/>
    <x v="3"/>
    <d v="2014-02-28T00:00:00"/>
    <x v="2"/>
    <s v="Run Liu"/>
    <s v="789 26th Street"/>
    <s v="Miami"/>
    <s v="FL"/>
    <n v="99999"/>
    <x v="0"/>
    <s v="Credit Card"/>
    <x v="11"/>
    <x v="6"/>
    <n v="25"/>
    <n v="21"/>
    <n v="525"/>
    <n v="53.550000000000004"/>
  </r>
  <r>
    <n v="1047"/>
    <x v="23"/>
    <n v="29"/>
    <x v="4"/>
    <s v="789 29th Street"/>
    <x v="3"/>
    <s v="CO"/>
    <n v="99999"/>
    <s v="USA"/>
    <x v="3"/>
    <x v="0"/>
    <d v="2014-03-03T00:00:00"/>
    <x v="0"/>
    <s v="Soo Jung Lee"/>
    <s v="789 29th Street"/>
    <s v="Denver"/>
    <s v="CO"/>
    <n v="99999"/>
    <x v="0"/>
    <s v="Check"/>
    <x v="19"/>
    <x v="12"/>
    <n v="39"/>
    <n v="26"/>
    <n v="1014"/>
    <n v="106.47000000000001"/>
  </r>
  <r>
    <n v="1048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2"/>
    <x v="1"/>
    <n v="30"/>
    <n v="96"/>
    <n v="2880"/>
    <n v="296.64"/>
  </r>
  <r>
    <n v="1049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3"/>
    <x v="1"/>
    <n v="53"/>
    <n v="16"/>
    <n v="848"/>
    <n v="88.192000000000021"/>
  </r>
  <r>
    <n v="1050"/>
    <x v="24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96"/>
    <n v="3648"/>
    <n v="346.56"/>
  </r>
  <r>
    <n v="1051"/>
    <x v="14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75"/>
    <n v="224.25000000000003"/>
    <n v="23.097750000000005"/>
  </r>
  <r>
    <n v="1052"/>
    <x v="25"/>
    <n v="9"/>
    <x v="12"/>
    <s v="123 9th Street"/>
    <x v="11"/>
    <s v="UT"/>
    <n v="99999"/>
    <s v="USA"/>
    <x v="7"/>
    <x v="0"/>
    <n v="41709"/>
    <x v="1"/>
    <s v="Sven Mortensen"/>
    <s v="123 9th Street"/>
    <s v="Salt Lake City"/>
    <s v="UT"/>
    <n v="99999"/>
    <x v="0"/>
    <s v="Check"/>
    <x v="14"/>
    <x v="9"/>
    <n v="19.5"/>
    <n v="55"/>
    <n v="1072.5"/>
    <n v="108.32250000000001"/>
  </r>
  <r>
    <n v="1053"/>
    <x v="25"/>
    <n v="9"/>
    <x v="12"/>
    <s v="123 9th Street"/>
    <x v="11"/>
    <s v="UT"/>
    <n v="99999"/>
    <s v="USA"/>
    <x v="7"/>
    <x v="0"/>
    <d v="2014-03-11T00:00:00"/>
    <x v="1"/>
    <s v="Sven Mortensen"/>
    <s v="123 9th Street"/>
    <s v="Salt Lake City"/>
    <s v="UT"/>
    <n v="99999"/>
    <x v="0"/>
    <s v="Check"/>
    <x v="15"/>
    <x v="10"/>
    <n v="34.799999999999997"/>
    <n v="11"/>
    <n v="382.79999999999995"/>
    <n v="36.748799999999996"/>
  </r>
  <r>
    <n v="1054"/>
    <x v="26"/>
    <n v="6"/>
    <x v="6"/>
    <s v="123 6th Street"/>
    <x v="5"/>
    <s v="WI"/>
    <n v="99999"/>
    <s v="USA"/>
    <x v="4"/>
    <x v="2"/>
    <d v="2014-03-08T00:00:00"/>
    <x v="0"/>
    <s v="Francisco Pérez-Olaeta"/>
    <s v="123 6th Street"/>
    <s v="Milwaukee"/>
    <s v="WI"/>
    <n v="99999"/>
    <x v="0"/>
    <s v="Credit Card"/>
    <x v="0"/>
    <x v="0"/>
    <n v="14"/>
    <n v="53"/>
    <n v="742"/>
    <n v="71.974000000000004"/>
  </r>
  <r>
    <n v="1055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9"/>
    <x v="5"/>
    <n v="40"/>
    <n v="85"/>
    <n v="3400"/>
    <n v="357"/>
  </r>
  <r>
    <n v="1056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6"/>
    <x v="2"/>
    <n v="9.1999999999999993"/>
    <n v="97"/>
    <n v="892.4"/>
    <n v="91.024800000000013"/>
  </r>
  <r>
    <n v="1057"/>
    <x v="28"/>
    <n v="25"/>
    <x v="13"/>
    <s v="789 25th Street"/>
    <x v="7"/>
    <s v="IL"/>
    <n v="99999"/>
    <s v="USA"/>
    <x v="6"/>
    <x v="1"/>
    <d v="2014-03-27T00:00:00"/>
    <x v="1"/>
    <s v="John Rodman"/>
    <s v="789 25th Street"/>
    <s v="Chicago"/>
    <s v="IL"/>
    <n v="99999"/>
    <x v="0"/>
    <s v="Cash"/>
    <x v="21"/>
    <x v="2"/>
    <n v="10"/>
    <n v="46"/>
    <n v="460"/>
    <n v="46.46"/>
  </r>
  <r>
    <n v="1058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22"/>
    <x v="13"/>
    <n v="21.35"/>
    <n v="97"/>
    <n v="2070.9500000000003"/>
    <n v="196.74025"/>
  </r>
  <r>
    <n v="1059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8"/>
    <x v="4"/>
    <n v="9.65"/>
    <n v="97"/>
    <n v="936.05000000000007"/>
    <n v="95.477100000000021"/>
  </r>
  <r>
    <n v="1060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13"/>
    <x v="8"/>
    <n v="18.399999999999999"/>
    <n v="65"/>
    <n v="1196"/>
    <n v="123.18800000000002"/>
  </r>
  <r>
    <n v="1061"/>
    <x v="30"/>
    <n v="29"/>
    <x v="4"/>
    <s v="789 29th Street"/>
    <x v="3"/>
    <s v="CO"/>
    <n v="99999"/>
    <s v="USA"/>
    <x v="3"/>
    <x v="0"/>
    <d v="2014-03-31T00:00:00"/>
    <x v="0"/>
    <s v="Soo Jung Lee"/>
    <s v="789 29th Street"/>
    <s v="Denver"/>
    <s v="CO"/>
    <n v="99999"/>
    <x v="0"/>
    <s v="Check"/>
    <x v="0"/>
    <x v="0"/>
    <n v="14"/>
    <n v="72"/>
    <n v="1008"/>
    <n v="100.80000000000001"/>
  </r>
  <r>
    <n v="1062"/>
    <x v="26"/>
    <n v="6"/>
    <x v="6"/>
    <s v="123 6th Street"/>
    <x v="5"/>
    <s v="WI"/>
    <n v="99999"/>
    <s v="USA"/>
    <x v="4"/>
    <x v="2"/>
    <d v="2014-03-08T00:00:00"/>
    <x v="2"/>
    <s v="Francisco Pérez-Olaeta"/>
    <s v="123 6th Street"/>
    <s v="Milwaukee"/>
    <s v="WI"/>
    <n v="99999"/>
    <x v="0"/>
    <s v="Check"/>
    <x v="7"/>
    <x v="3"/>
    <n v="12.75"/>
    <n v="16"/>
    <n v="204"/>
    <n v="20.196000000000002"/>
  </r>
  <r>
    <n v="1064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3"/>
    <x v="6"/>
    <n v="81"/>
    <n v="77"/>
    <n v="6237"/>
    <n v="642.41100000000006"/>
  </r>
  <r>
    <n v="1065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4"/>
    <x v="14"/>
    <n v="7"/>
    <n v="37"/>
    <n v="259"/>
    <n v="24.605"/>
  </r>
  <r>
    <n v="1067"/>
    <x v="27"/>
    <n v="8"/>
    <x v="3"/>
    <s v="123 8th Street"/>
    <x v="2"/>
    <s v="OR"/>
    <n v="99999"/>
    <s v="USA"/>
    <x v="2"/>
    <x v="2"/>
    <d v="2014-03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17.04759999999999"/>
  </r>
  <r>
    <n v="1070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16"/>
    <x v="7"/>
    <n v="10"/>
    <n v="48"/>
    <n v="480"/>
    <n v="48"/>
  </r>
  <r>
    <n v="1071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9"/>
    <x v="5"/>
    <n v="40"/>
    <n v="71"/>
    <n v="2840"/>
    <n v="295.36"/>
  </r>
  <r>
    <n v="1075"/>
    <x v="33"/>
    <n v="10"/>
    <x v="8"/>
    <s v="123 10th Street"/>
    <x v="7"/>
    <s v="IL"/>
    <n v="99999"/>
    <s v="USA"/>
    <x v="6"/>
    <x v="1"/>
    <d v="2014-03-12T00:00:00"/>
    <x v="0"/>
    <s v="Roland Wacker"/>
    <s v="123 10th Street"/>
    <s v="Chicago"/>
    <s v="IL"/>
    <n v="99999"/>
    <x v="0"/>
    <s v="Credit Card"/>
    <x v="18"/>
    <x v="1"/>
    <n v="10"/>
    <n v="55"/>
    <n v="550"/>
    <n v="55"/>
  </r>
  <r>
    <n v="1077"/>
    <x v="3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1"/>
    <n v="73.5"/>
    <n v="7.3500000000000005"/>
  </r>
  <r>
    <n v="1078"/>
    <x v="3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7"/>
    <n v="2680"/>
    <n v="270.68"/>
  </r>
  <r>
    <n v="1079"/>
    <x v="2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5"/>
    <n v="1380"/>
    <n v="138"/>
  </r>
  <r>
    <n v="1080"/>
    <x v="35"/>
    <n v="28"/>
    <x v="7"/>
    <s v="789 28th Street"/>
    <x v="6"/>
    <s v="TN"/>
    <n v="99999"/>
    <s v="USA"/>
    <x v="5"/>
    <x v="3"/>
    <d v="2014-03-30T00:00:00"/>
    <x v="2"/>
    <s v="Amritansh Raghav"/>
    <s v="789 28th Street"/>
    <s v="Memphis"/>
    <s v="TN"/>
    <n v="99999"/>
    <x v="0"/>
    <s v="Credit Card"/>
    <x v="5"/>
    <x v="0"/>
    <n v="46"/>
    <n v="17"/>
    <n v="782"/>
    <n v="80.546000000000006"/>
  </r>
  <r>
    <n v="1081"/>
    <x v="36"/>
    <n v="4"/>
    <x v="1"/>
    <s v="123 4th Street"/>
    <x v="1"/>
    <s v="NY"/>
    <n v="99999"/>
    <s v="USA"/>
    <x v="1"/>
    <x v="1"/>
    <d v="2014-04-06T00:00:00"/>
    <x v="1"/>
    <s v="Christina Lee"/>
    <s v="123 4th Street"/>
    <s v="New York"/>
    <s v="NY"/>
    <n v="99999"/>
    <x v="0"/>
    <s v="Credit Card"/>
    <x v="1"/>
    <x v="1"/>
    <n v="3.5"/>
    <n v="48"/>
    <n v="168"/>
    <n v="16.295999999999999"/>
  </r>
  <r>
    <n v="1082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4"/>
    <x v="0"/>
    <n v="18"/>
    <n v="74"/>
    <n v="1332"/>
    <n v="137.19600000000003"/>
  </r>
  <r>
    <n v="1083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5"/>
    <x v="0"/>
    <n v="46"/>
    <n v="96"/>
    <n v="4416"/>
    <n v="428.35200000000003"/>
  </r>
  <r>
    <n v="1084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redit Card"/>
    <x v="6"/>
    <x v="2"/>
    <n v="9.1999999999999993"/>
    <n v="12"/>
    <n v="110.39999999999999"/>
    <n v="11.3712"/>
  </r>
  <r>
    <n v="1085"/>
    <x v="36"/>
    <n v="4"/>
    <x v="1"/>
    <s v="123 4th Street"/>
    <x v="1"/>
    <s v="NY"/>
    <n v="99999"/>
    <s v="USA"/>
    <x v="1"/>
    <x v="1"/>
    <n v="41735"/>
    <x v="2"/>
    <s v="Christina Lee"/>
    <s v="123 4th Street"/>
    <s v="New York"/>
    <s v="NY"/>
    <n v="99999"/>
    <x v="0"/>
    <s v="Check"/>
    <x v="6"/>
    <x v="2"/>
    <n v="9.1999999999999993"/>
    <n v="62"/>
    <n v="570.4"/>
    <n v="58.751199999999997"/>
  </r>
  <r>
    <n v="1086"/>
    <x v="39"/>
    <n v="29"/>
    <x v="4"/>
    <s v="789 29th Street"/>
    <x v="3"/>
    <s v="CO"/>
    <n v="99999"/>
    <s v="USA"/>
    <x v="3"/>
    <x v="0"/>
    <n v="41760"/>
    <x v="0"/>
    <s v="Soo Jung Lee"/>
    <s v="789 29th Street"/>
    <s v="Denver"/>
    <s v="CO"/>
    <n v="99999"/>
    <x v="0"/>
    <s v="Check"/>
    <x v="7"/>
    <x v="3"/>
    <n v="12.75"/>
    <n v="35"/>
    <n v="446.25"/>
    <n v="45.963750000000005"/>
  </r>
  <r>
    <n v="1087"/>
    <x v="40"/>
    <n v="3"/>
    <x v="5"/>
    <s v="123 3rd Street"/>
    <x v="4"/>
    <s v="CA"/>
    <n v="99999"/>
    <s v="USA"/>
    <x v="0"/>
    <x v="0"/>
    <n v="41734"/>
    <x v="0"/>
    <s v="Thomas Axerr"/>
    <s v="123 3rd Street"/>
    <s v="Los Angelas"/>
    <s v="CA"/>
    <n v="99999"/>
    <x v="0"/>
    <s v="Cash"/>
    <x v="8"/>
    <x v="4"/>
    <n v="9.65"/>
    <n v="95"/>
    <n v="916.75"/>
    <n v="91.675000000000011"/>
  </r>
  <r>
    <n v="1088"/>
    <x v="41"/>
    <n v="6"/>
    <x v="6"/>
    <s v="123 6th Street"/>
    <x v="5"/>
    <s v="WI"/>
    <n v="99999"/>
    <s v="USA"/>
    <x v="4"/>
    <x v="2"/>
    <n v="41737"/>
    <x v="0"/>
    <s v="Francisco Pérez-Olaeta"/>
    <s v="123 6th Street"/>
    <s v="Milwaukee"/>
    <s v="WI"/>
    <n v="99999"/>
    <x v="0"/>
    <s v="Credit Card"/>
    <x v="9"/>
    <x v="5"/>
    <n v="40"/>
    <n v="17"/>
    <n v="680"/>
    <n v="68.680000000000007"/>
  </r>
  <r>
    <n v="1089"/>
    <x v="42"/>
    <n v="28"/>
    <x v="7"/>
    <s v="789 28th Street"/>
    <x v="6"/>
    <s v="TN"/>
    <n v="99999"/>
    <s v="USA"/>
    <x v="5"/>
    <x v="3"/>
    <d v="2014-04-30T00:00:00"/>
    <x v="2"/>
    <s v="Amritansh Raghav"/>
    <s v="789 28th Street"/>
    <s v="Memphis"/>
    <s v="TN"/>
    <n v="99999"/>
    <x v="0"/>
    <s v="Check"/>
    <x v="5"/>
    <x v="0"/>
    <n v="46"/>
    <n v="96"/>
    <n v="4416"/>
    <n v="463.68000000000006"/>
  </r>
  <r>
    <n v="1090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heck"/>
    <x v="7"/>
    <x v="3"/>
    <n v="12.75"/>
    <n v="83"/>
    <n v="1058.25"/>
    <n v="102.65025"/>
  </r>
  <r>
    <n v="1091"/>
    <x v="43"/>
    <n v="10"/>
    <x v="8"/>
    <s v="123 10th Street"/>
    <x v="7"/>
    <s v="IL"/>
    <n v="99999"/>
    <s v="USA"/>
    <x v="6"/>
    <x v="1"/>
    <d v="2014-04-12T00:00:00"/>
    <x v="0"/>
    <s v="Roland Wacker"/>
    <s v="123 10th Street"/>
    <s v="Chicago"/>
    <s v="IL"/>
    <n v="99999"/>
    <x v="0"/>
    <s v="Credit Card"/>
    <x v="10"/>
    <x v="0"/>
    <n v="2.99"/>
    <n v="88"/>
    <n v="263.12"/>
    <n v="26.04888"/>
  </r>
  <r>
    <n v="1092"/>
    <x v="44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59"/>
    <n v="2714"/>
    <n v="284.97000000000003"/>
  </r>
  <r>
    <n v="1093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1"/>
    <x v="6"/>
    <n v="25"/>
    <n v="27"/>
    <n v="675"/>
    <n v="68.849999999999994"/>
  </r>
  <r>
    <n v="1094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2"/>
    <x v="7"/>
    <n v="22"/>
    <n v="37"/>
    <n v="814"/>
    <n v="85.470000000000013"/>
  </r>
  <r>
    <n v="1095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6"/>
    <x v="2"/>
    <n v="9.1999999999999993"/>
    <n v="75"/>
    <n v="690"/>
    <n v="69"/>
  </r>
  <r>
    <n v="1096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1"/>
    <n v="248.5"/>
    <n v="24.104500000000002"/>
  </r>
  <r>
    <n v="1097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88"/>
    <n v="263.12"/>
    <n v="26.04888"/>
  </r>
  <r>
    <n v="1098"/>
    <x v="46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5"/>
    <n v="990"/>
    <n v="97.02"/>
  </r>
  <r>
    <n v="1099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7"/>
    <x v="3"/>
    <n v="12.75"/>
    <n v="14"/>
    <n v="178.5"/>
    <n v="16.9575"/>
  </r>
  <r>
    <n v="1100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8"/>
    <x v="4"/>
    <n v="9.65"/>
    <n v="43"/>
    <n v="414.95"/>
    <n v="42.324900000000007"/>
  </r>
  <r>
    <n v="1101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9"/>
    <x v="5"/>
    <n v="40"/>
    <n v="63"/>
    <n v="2520"/>
    <n v="254.52"/>
  </r>
  <r>
    <n v="1102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heck"/>
    <x v="5"/>
    <x v="0"/>
    <n v="46"/>
    <n v="36"/>
    <n v="1656"/>
    <n v="165.60000000000002"/>
  </r>
  <r>
    <n v="1103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heck"/>
    <x v="7"/>
    <x v="3"/>
    <n v="12.75"/>
    <n v="41"/>
    <n v="522.75"/>
    <n v="54.366000000000007"/>
  </r>
  <r>
    <n v="1104"/>
    <x v="52"/>
    <n v="10"/>
    <x v="8"/>
    <s v="123 10th Street"/>
    <x v="7"/>
    <s v="IL"/>
    <n v="99999"/>
    <s v="USA"/>
    <x v="6"/>
    <x v="1"/>
    <d v="2014-05-12T00:00:00"/>
    <x v="0"/>
    <s v="Roland Wacker"/>
    <s v="123 10th Street"/>
    <s v="Chicago"/>
    <s v="IL"/>
    <n v="99999"/>
    <x v="0"/>
    <s v="Credit Card"/>
    <x v="10"/>
    <x v="0"/>
    <n v="2.99"/>
    <n v="35"/>
    <n v="104.65"/>
    <n v="10.255700000000001"/>
  </r>
  <r>
    <n v="1105"/>
    <x v="5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31"/>
    <n v="1426"/>
    <n v="136.89599999999999"/>
  </r>
  <r>
    <n v="1106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1"/>
    <x v="6"/>
    <n v="25"/>
    <n v="52"/>
    <n v="1300"/>
    <n v="123.5"/>
  </r>
  <r>
    <n v="1107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2"/>
    <x v="7"/>
    <n v="22"/>
    <n v="30"/>
    <n v="660"/>
    <n v="67.320000000000007"/>
  </r>
  <r>
    <n v="1108"/>
    <x v="52"/>
    <n v="10"/>
    <x v="8"/>
    <s v="123 10th Street"/>
    <x v="7"/>
    <s v="IL"/>
    <n v="99999"/>
    <s v="USA"/>
    <x v="6"/>
    <x v="1"/>
    <d v="2014-05-12T00:00:00"/>
    <x v="1"/>
    <s v="Roland Wacker"/>
    <s v="123 10th Street"/>
    <s v="Chicago"/>
    <s v="IL"/>
    <n v="99999"/>
    <x v="0"/>
    <m/>
    <x v="6"/>
    <x v="2"/>
    <n v="9.1999999999999993"/>
    <n v="41"/>
    <n v="377.2"/>
    <n v="38.474400000000003"/>
  </r>
  <r>
    <n v="1109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4"/>
    <n v="154"/>
    <n v="15.246"/>
  </r>
  <r>
    <n v="1110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77"/>
    <n v="230.23000000000002"/>
    <n v="23.023000000000003"/>
  </r>
  <r>
    <n v="1111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9"/>
    <n v="522"/>
    <n v="52.722000000000001"/>
  </r>
  <r>
    <n v="1112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7"/>
    <n v="3542"/>
    <n v="368.36800000000005"/>
  </r>
  <r>
    <n v="1113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73"/>
    <n v="218.27"/>
    <n v="21.827000000000002"/>
  </r>
  <r>
    <n v="1114"/>
    <x v="50"/>
    <n v="28"/>
    <x v="7"/>
    <s v="789 28th Street"/>
    <x v="6"/>
    <s v="TN"/>
    <n v="99999"/>
    <s v="USA"/>
    <x v="5"/>
    <x v="3"/>
    <n v="41789"/>
    <x v="2"/>
    <s v="Amritansh Raghav"/>
    <s v="789 28th Street"/>
    <s v="Memphis"/>
    <s v="TN"/>
    <n v="99999"/>
    <x v="0"/>
    <s v="Credit Card"/>
    <x v="8"/>
    <x v="4"/>
    <n v="9.65"/>
    <n v="74"/>
    <n v="714.1"/>
    <n v="67.839500000000001"/>
  </r>
  <r>
    <n v="1115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redit Card"/>
    <x v="13"/>
    <x v="8"/>
    <n v="18.399999999999999"/>
    <n v="25"/>
    <n v="459.99999999999994"/>
    <n v="46.46"/>
  </r>
  <r>
    <n v="1116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4"/>
    <x v="9"/>
    <n v="19.5"/>
    <n v="82"/>
    <n v="1599"/>
    <n v="153.50399999999999"/>
  </r>
  <r>
    <n v="1117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5"/>
    <x v="10"/>
    <n v="34.799999999999997"/>
    <n v="37"/>
    <n v="1287.5999999999999"/>
    <n v="132.62279999999998"/>
  </r>
  <r>
    <n v="1118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0"/>
    <x v="0"/>
    <n v="14"/>
    <n v="84"/>
    <n v="1176"/>
    <n v="112.896"/>
  </r>
  <r>
    <n v="1119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9"/>
    <x v="5"/>
    <n v="40"/>
    <n v="73"/>
    <n v="2920"/>
    <n v="283.24"/>
  </r>
  <r>
    <n v="1120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6"/>
    <x v="2"/>
    <n v="9.1999999999999993"/>
    <n v="51"/>
    <n v="469.2"/>
    <n v="44.573999999999998"/>
  </r>
  <r>
    <n v="1121"/>
    <x v="57"/>
    <n v="25"/>
    <x v="13"/>
    <s v="789 25th Street"/>
    <x v="7"/>
    <s v="IL"/>
    <n v="99999"/>
    <s v="USA"/>
    <x v="6"/>
    <x v="1"/>
    <n v="41786"/>
    <x v="1"/>
    <s v="John Rodman"/>
    <s v="789 25th Street"/>
    <s v="Chicago"/>
    <s v="IL"/>
    <n v="99999"/>
    <x v="0"/>
    <s v="Cash"/>
    <x v="21"/>
    <x v="2"/>
    <n v="10"/>
    <n v="66"/>
    <n v="660"/>
    <n v="68.64"/>
  </r>
  <r>
    <n v="1122"/>
    <x v="58"/>
    <n v="26"/>
    <x v="14"/>
    <s v="789 26th Street"/>
    <x v="9"/>
    <s v="FL"/>
    <n v="99999"/>
    <s v="USA"/>
    <x v="5"/>
    <x v="3"/>
    <n v="41787"/>
    <x v="2"/>
    <s v="Run Liu"/>
    <s v="789 26th Street"/>
    <s v="Miami"/>
    <s v="FL"/>
    <n v="99999"/>
    <x v="0"/>
    <s v="Credit Card"/>
    <x v="22"/>
    <x v="13"/>
    <n v="21.35"/>
    <n v="36"/>
    <n v="768.6"/>
    <n v="74.554200000000009"/>
  </r>
  <r>
    <n v="1123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8"/>
    <x v="4"/>
    <n v="9.65"/>
    <n v="87"/>
    <n v="839.55000000000007"/>
    <n v="87.313200000000009"/>
  </r>
  <r>
    <n v="1124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5.40479999999999"/>
  </r>
  <r>
    <n v="1125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0"/>
    <x v="0"/>
    <n v="14"/>
    <n v="21"/>
    <n v="294"/>
    <n v="30.870000000000005"/>
  </r>
  <r>
    <n v="1126"/>
    <x v="49"/>
    <n v="6"/>
    <x v="6"/>
    <s v="123 6th Street"/>
    <x v="5"/>
    <s v="WI"/>
    <n v="99999"/>
    <s v="USA"/>
    <x v="4"/>
    <x v="2"/>
    <d v="2014-05-08T00:00:00"/>
    <x v="2"/>
    <s v="Francisco Pérez-Olaeta"/>
    <s v="123 6th Street"/>
    <s v="Milwaukee"/>
    <s v="WI"/>
    <n v="99999"/>
    <x v="0"/>
    <s v="Check"/>
    <x v="7"/>
    <x v="3"/>
    <n v="12.75"/>
    <n v="19"/>
    <n v="242.25"/>
    <n v="24.46725"/>
  </r>
  <r>
    <n v="1128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3"/>
    <x v="6"/>
    <n v="81"/>
    <n v="23"/>
    <n v="1863"/>
    <n v="195.61500000000001"/>
  </r>
  <r>
    <n v="1129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4"/>
    <x v="14"/>
    <n v="7"/>
    <n v="72"/>
    <n v="504"/>
    <n v="51.912000000000006"/>
  </r>
  <r>
    <n v="1131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redit Card"/>
    <x v="15"/>
    <x v="10"/>
    <n v="34.799999999999997"/>
    <n v="22"/>
    <n v="765.59999999999991"/>
    <n v="75.02879999999999"/>
  </r>
  <r>
    <n v="1134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16"/>
    <x v="7"/>
    <n v="10"/>
    <n v="82"/>
    <n v="820"/>
    <n v="85.28"/>
  </r>
  <r>
    <n v="1135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9"/>
    <x v="5"/>
    <n v="40"/>
    <n v="98"/>
    <n v="3920"/>
    <n v="411.6"/>
  </r>
  <r>
    <n v="1138"/>
    <x v="60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71"/>
    <n v="3266"/>
    <n v="310.27"/>
  </r>
  <r>
    <n v="1139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1"/>
    <x v="6"/>
    <n v="25"/>
    <n v="40"/>
    <n v="1000"/>
    <n v="105"/>
  </r>
  <r>
    <n v="1140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2"/>
    <x v="7"/>
    <n v="22"/>
    <n v="80"/>
    <n v="1760"/>
    <n v="172.48"/>
  </r>
  <r>
    <n v="1141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6"/>
    <x v="2"/>
    <n v="9.1999999999999993"/>
    <n v="38"/>
    <n v="349.59999999999997"/>
    <n v="33.211999999999996"/>
  </r>
  <r>
    <n v="1142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8"/>
    <n v="98"/>
    <n v="10.290000000000001"/>
  </r>
  <r>
    <n v="1143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0"/>
    <n v="179.4"/>
    <n v="17.581200000000003"/>
  </r>
  <r>
    <n v="1144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33"/>
    <n v="594"/>
    <n v="58.212000000000003"/>
  </r>
  <r>
    <n v="1145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22"/>
    <n v="1012"/>
    <n v="101.2"/>
  </r>
  <r>
    <n v="1146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51"/>
    <n v="152.49"/>
    <n v="14.944020000000002"/>
  </r>
  <r>
    <n v="114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8"/>
    <x v="4"/>
    <n v="9.65"/>
    <n v="60"/>
    <n v="579"/>
    <n v="57.321000000000005"/>
  </r>
  <r>
    <n v="1148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13"/>
    <x v="8"/>
    <n v="18.399999999999999"/>
    <n v="98"/>
    <n v="1803.1999999999998"/>
    <n v="183.9264"/>
  </r>
  <r>
    <n v="1149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4"/>
    <x v="9"/>
    <n v="19.5"/>
    <n v="27"/>
    <n v="526.5"/>
    <n v="51.070500000000003"/>
  </r>
  <r>
    <n v="1150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5"/>
    <x v="10"/>
    <n v="34.799999999999997"/>
    <n v="88"/>
    <n v="3062.3999999999996"/>
    <n v="303.17759999999993"/>
  </r>
  <r>
    <n v="1151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0"/>
    <x v="0"/>
    <n v="14"/>
    <n v="65"/>
    <n v="910"/>
    <n v="95.55"/>
  </r>
  <r>
    <n v="1152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9"/>
    <x v="5"/>
    <n v="40"/>
    <n v="38"/>
    <n v="1520"/>
    <n v="148.96"/>
  </r>
  <r>
    <n v="1153"/>
    <x v="67"/>
    <n v="8"/>
    <x v="3"/>
    <s v="123 8th Street"/>
    <x v="2"/>
    <s v="OR"/>
    <n v="99999"/>
    <s v="USA"/>
    <x v="2"/>
    <x v="2"/>
    <n v="41800"/>
    <x v="0"/>
    <s v="Elizabeth Andersen"/>
    <s v="123 8th Street"/>
    <s v="Portland"/>
    <s v="OR"/>
    <n v="99999"/>
    <x v="0"/>
    <s v="Check"/>
    <x v="6"/>
    <x v="2"/>
    <n v="9.1999999999999993"/>
    <n v="80"/>
    <n v="736"/>
    <n v="70.656000000000006"/>
  </r>
  <r>
    <n v="1154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21"/>
    <x v="2"/>
    <n v="10"/>
    <n v="49"/>
    <n v="490"/>
    <n v="47.04"/>
  </r>
  <r>
    <n v="1155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22"/>
    <x v="13"/>
    <n v="21.35"/>
    <n v="90"/>
    <n v="1921.5000000000002"/>
    <n v="186.38550000000004"/>
  </r>
  <r>
    <n v="1156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8"/>
    <x v="4"/>
    <n v="9.65"/>
    <n v="60"/>
    <n v="579"/>
    <n v="59.637000000000008"/>
  </r>
  <r>
    <n v="1157"/>
    <x v="69"/>
    <n v="26"/>
    <x v="14"/>
    <s v="789 26th Street"/>
    <x v="9"/>
    <s v="FL"/>
    <n v="99999"/>
    <s v="USA"/>
    <x v="5"/>
    <x v="3"/>
    <n v="41818"/>
    <x v="2"/>
    <s v="Run Liu"/>
    <s v="789 26th Street"/>
    <s v="Miami"/>
    <s v="FL"/>
    <n v="99999"/>
    <x v="0"/>
    <s v="Credit Card"/>
    <x v="13"/>
    <x v="8"/>
    <n v="18.399999999999999"/>
    <n v="39"/>
    <n v="717.59999999999991"/>
    <n v="71.759999999999991"/>
  </r>
  <r>
    <n v="1158"/>
    <x v="70"/>
    <n v="29"/>
    <x v="4"/>
    <s v="789 29th Street"/>
    <x v="3"/>
    <s v="CO"/>
    <n v="99999"/>
    <s v="USA"/>
    <x v="3"/>
    <x v="0"/>
    <n v="41821"/>
    <x v="0"/>
    <s v="Soo Jung Lee"/>
    <s v="789 29th Street"/>
    <s v="Denver"/>
    <s v="CO"/>
    <n v="99999"/>
    <x v="0"/>
    <s v="Check"/>
    <x v="0"/>
    <x v="0"/>
    <n v="14"/>
    <n v="79"/>
    <n v="1106"/>
    <n v="113.91800000000001"/>
  </r>
  <r>
    <n v="1159"/>
    <x v="66"/>
    <n v="6"/>
    <x v="6"/>
    <s v="123 6th Street"/>
    <x v="5"/>
    <s v="WI"/>
    <n v="99999"/>
    <s v="USA"/>
    <x v="4"/>
    <x v="2"/>
    <n v="41798"/>
    <x v="2"/>
    <s v="Francisco Pérez-Olaeta"/>
    <s v="123 6th Street"/>
    <s v="Milwaukee"/>
    <s v="WI"/>
    <n v="99999"/>
    <x v="0"/>
    <s v="Check"/>
    <x v="7"/>
    <x v="3"/>
    <n v="12.75"/>
    <n v="44"/>
    <n v="561"/>
    <n v="57.222000000000001"/>
  </r>
  <r>
    <n v="1161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3"/>
    <x v="6"/>
    <n v="81"/>
    <n v="98"/>
    <n v="7938"/>
    <n v="769.98599999999999"/>
  </r>
  <r>
    <n v="1162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4"/>
    <x v="14"/>
    <n v="7"/>
    <n v="61"/>
    <n v="427"/>
    <n v="42.273000000000003"/>
  </r>
  <r>
    <n v="1164"/>
    <x v="67"/>
    <n v="8"/>
    <x v="3"/>
    <s v="123 8th Street"/>
    <x v="2"/>
    <s v="OR"/>
    <n v="99999"/>
    <s v="USA"/>
    <x v="2"/>
    <x v="2"/>
    <d v="2014-06-10T00:00:00"/>
    <x v="2"/>
    <s v="Elizabeth Andersen"/>
    <s v="123 8th Street"/>
    <s v="Portland"/>
    <s v="OR"/>
    <n v="99999"/>
    <x v="0"/>
    <s v="Credit Card"/>
    <x v="15"/>
    <x v="10"/>
    <n v="34.799999999999997"/>
    <n v="30"/>
    <n v="1044"/>
    <n v="109.62"/>
  </r>
  <r>
    <n v="1167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16"/>
    <x v="7"/>
    <n v="10"/>
    <n v="24"/>
    <n v="240"/>
    <n v="25.200000000000003"/>
  </r>
  <r>
    <n v="1168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9"/>
    <x v="5"/>
    <n v="40"/>
    <n v="28"/>
    <n v="1120"/>
    <n v="109.75999999999999"/>
  </r>
  <r>
    <n v="1172"/>
    <x v="61"/>
    <n v="10"/>
    <x v="8"/>
    <s v="123 10th Street"/>
    <x v="7"/>
    <s v="IL"/>
    <n v="99999"/>
    <s v="USA"/>
    <x v="6"/>
    <x v="1"/>
    <d v="2014-06-12T00:00:00"/>
    <x v="0"/>
    <s v="Roland Wacker"/>
    <s v="123 10th Street"/>
    <s v="Chicago"/>
    <s v="IL"/>
    <n v="99999"/>
    <x v="0"/>
    <s v="Credit Card"/>
    <x v="18"/>
    <x v="1"/>
    <n v="10"/>
    <n v="74"/>
    <n v="740"/>
    <n v="71.78"/>
  </r>
  <r>
    <n v="1174"/>
    <x v="61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90"/>
    <n v="315"/>
    <n v="30.24"/>
  </r>
  <r>
    <n v="1175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27"/>
    <n v="1080"/>
    <n v="111.24000000000001"/>
  </r>
  <r>
    <n v="1176"/>
    <x v="6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1"/>
    <n v="1306.3999999999999"/>
    <n v="137.172"/>
  </r>
  <r>
    <n v="117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5"/>
    <x v="0"/>
    <n v="46"/>
    <n v="74"/>
    <n v="3404"/>
    <n v="340.40000000000003"/>
  </r>
  <r>
    <n v="1178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8"/>
    <x v="4"/>
    <n v="9.65"/>
    <n v="76"/>
    <n v="733.4"/>
    <n v="72.6066"/>
  </r>
  <r>
    <n v="1179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7"/>
    <x v="3"/>
    <n v="12.75"/>
    <n v="96"/>
    <n v="1224"/>
    <n v="123.62400000000001"/>
  </r>
  <r>
    <n v="1180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7"/>
    <x v="3"/>
    <n v="12.75"/>
    <n v="92"/>
    <n v="1173"/>
    <n v="116.12700000000001"/>
  </r>
  <r>
    <n v="1181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12"/>
    <x v="7"/>
    <n v="22"/>
    <n v="93"/>
    <n v="2046"/>
    <n v="200.50800000000001"/>
  </r>
  <r>
    <n v="1182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11"/>
    <x v="6"/>
    <n v="25"/>
    <n v="18"/>
    <n v="450"/>
    <n v="42.75"/>
  </r>
  <r>
    <n v="1183"/>
    <x v="70"/>
    <n v="29"/>
    <x v="4"/>
    <s v="789 29th Street"/>
    <x v="3"/>
    <s v="CO"/>
    <n v="99999"/>
    <s v="USA"/>
    <x v="3"/>
    <x v="0"/>
    <d v="2014-07-01T00:00:00"/>
    <x v="0"/>
    <s v="Soo Jung Lee"/>
    <s v="789 29th Street"/>
    <s v="Denver"/>
    <s v="CO"/>
    <n v="99999"/>
    <x v="0"/>
    <s v="Check"/>
    <x v="19"/>
    <x v="12"/>
    <n v="39"/>
    <n v="98"/>
    <n v="3822"/>
    <n v="397.48800000000006"/>
  </r>
  <r>
    <n v="1184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2"/>
    <x v="1"/>
    <n v="30"/>
    <n v="46"/>
    <n v="1380"/>
    <n v="135.24"/>
  </r>
  <r>
    <n v="1185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3"/>
    <x v="1"/>
    <n v="53"/>
    <n v="14"/>
    <n v="742"/>
    <n v="74.2"/>
  </r>
  <r>
    <n v="1186"/>
    <x v="71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85"/>
    <n v="3230"/>
    <n v="319.77"/>
  </r>
  <r>
    <n v="1187"/>
    <x v="72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88"/>
    <n v="263.12"/>
    <n v="25.522639999999999"/>
  </r>
  <r>
    <n v="1188"/>
    <x v="7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1"/>
    <n v="242.19000000000003"/>
    <n v="23.976810000000004"/>
  </r>
  <r>
    <n v="1189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8"/>
    <x v="4"/>
    <n v="9.65"/>
    <n v="33"/>
    <n v="318.45"/>
    <n v="30.252749999999999"/>
  </r>
  <r>
    <n v="1190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13"/>
    <x v="8"/>
    <n v="18.399999999999999"/>
    <n v="47"/>
    <n v="864.8"/>
    <n v="90.804000000000002"/>
  </r>
  <r>
    <n v="1191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4"/>
    <x v="9"/>
    <n v="19.5"/>
    <n v="61"/>
    <n v="1189.5"/>
    <n v="123.70800000000001"/>
  </r>
  <r>
    <n v="1192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5"/>
    <x v="10"/>
    <n v="34.799999999999997"/>
    <n v="27"/>
    <n v="939.59999999999991"/>
    <n v="95.839199999999991"/>
  </r>
  <r>
    <n v="1193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0"/>
    <x v="0"/>
    <n v="14"/>
    <n v="84"/>
    <n v="1176"/>
    <n v="118.77600000000001"/>
  </r>
  <r>
    <n v="1194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9"/>
    <x v="5"/>
    <n v="40"/>
    <n v="91"/>
    <n v="3640"/>
    <n v="360.36"/>
  </r>
  <r>
    <n v="1195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6"/>
    <x v="2"/>
    <n v="9.1999999999999993"/>
    <n v="36"/>
    <n v="331.2"/>
    <n v="34.444800000000001"/>
  </r>
  <r>
    <n v="1196"/>
    <x v="78"/>
    <n v="25"/>
    <x v="13"/>
    <s v="789 25th Street"/>
    <x v="7"/>
    <s v="IL"/>
    <n v="99999"/>
    <s v="USA"/>
    <x v="6"/>
    <x v="1"/>
    <n v="41847"/>
    <x v="1"/>
    <s v="John Rodman"/>
    <s v="789 25th Street"/>
    <s v="Chicago"/>
    <s v="IL"/>
    <n v="99999"/>
    <x v="0"/>
    <s v="Cash"/>
    <x v="21"/>
    <x v="2"/>
    <n v="10"/>
    <n v="34"/>
    <n v="340"/>
    <n v="34.340000000000003"/>
  </r>
  <r>
    <n v="1197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22"/>
    <x v="13"/>
    <n v="21.35"/>
    <n v="81"/>
    <n v="1729.3500000000001"/>
    <n v="178.12305000000003"/>
  </r>
  <r>
    <n v="1198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8"/>
    <x v="4"/>
    <n v="9.65"/>
    <n v="25"/>
    <n v="241.25"/>
    <n v="23.401250000000001"/>
  </r>
  <r>
    <n v="1199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13"/>
    <x v="8"/>
    <n v="18.399999999999999"/>
    <n v="12"/>
    <n v="220.79999999999998"/>
    <n v="22.08"/>
  </r>
  <r>
    <n v="1200"/>
    <x v="80"/>
    <n v="29"/>
    <x v="4"/>
    <s v="789 29th Street"/>
    <x v="3"/>
    <s v="CO"/>
    <n v="99999"/>
    <s v="USA"/>
    <x v="3"/>
    <x v="0"/>
    <d v="2014-07-31T00:00:00"/>
    <x v="0"/>
    <s v="Soo Jung Lee"/>
    <s v="789 29th Street"/>
    <s v="Denver"/>
    <s v="CO"/>
    <n v="99999"/>
    <x v="0"/>
    <s v="Check"/>
    <x v="0"/>
    <x v="0"/>
    <n v="14"/>
    <n v="23"/>
    <n v="322"/>
    <n v="30.912000000000003"/>
  </r>
  <r>
    <n v="1201"/>
    <x v="76"/>
    <n v="6"/>
    <x v="6"/>
    <s v="123 6th Street"/>
    <x v="5"/>
    <s v="WI"/>
    <n v="99999"/>
    <s v="USA"/>
    <x v="4"/>
    <x v="2"/>
    <d v="2014-07-08T00:00:00"/>
    <x v="2"/>
    <s v="Francisco Pérez-Olaeta"/>
    <s v="123 6th Street"/>
    <s v="Milwaukee"/>
    <s v="WI"/>
    <n v="99999"/>
    <x v="0"/>
    <s v="Check"/>
    <x v="7"/>
    <x v="3"/>
    <n v="12.75"/>
    <n v="76"/>
    <n v="969"/>
    <n v="97.869"/>
  </r>
  <r>
    <n v="1203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3"/>
    <x v="6"/>
    <n v="81"/>
    <n v="55"/>
    <n v="4455"/>
    <n v="445.5"/>
  </r>
  <r>
    <n v="1204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4"/>
    <x v="14"/>
    <n v="7"/>
    <n v="19"/>
    <n v="133"/>
    <n v="12.901"/>
  </r>
  <r>
    <n v="1206"/>
    <x v="77"/>
    <n v="8"/>
    <x v="3"/>
    <s v="123 8th Street"/>
    <x v="2"/>
    <s v="OR"/>
    <n v="99999"/>
    <s v="USA"/>
    <x v="2"/>
    <x v="2"/>
    <d v="2014-07-10T00:00:00"/>
    <x v="2"/>
    <s v="Elizabeth Andersen"/>
    <s v="123 8th Street"/>
    <s v="Portland"/>
    <s v="OR"/>
    <n v="99999"/>
    <x v="0"/>
    <s v="Credit Card"/>
    <x v="15"/>
    <x v="10"/>
    <n v="34.799999999999997"/>
    <n v="27"/>
    <n v="939.59999999999991"/>
    <n v="89.261999999999986"/>
  </r>
  <r>
    <n v="1209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16"/>
    <x v="7"/>
    <n v="10"/>
    <n v="99"/>
    <n v="990"/>
    <n v="95.039999999999992"/>
  </r>
  <r>
    <n v="1210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9"/>
    <x v="5"/>
    <n v="40"/>
    <n v="10"/>
    <n v="400"/>
    <n v="40"/>
  </r>
  <r>
    <n v="1214"/>
    <x v="83"/>
    <n v="10"/>
    <x v="8"/>
    <s v="123 10th Street"/>
    <x v="7"/>
    <s v="IL"/>
    <n v="99999"/>
    <s v="USA"/>
    <x v="6"/>
    <x v="1"/>
    <d v="2014-07-12T00:00:00"/>
    <x v="0"/>
    <s v="Roland Wacker"/>
    <s v="123 10th Street"/>
    <s v="Chicago"/>
    <s v="IL"/>
    <n v="99999"/>
    <x v="0"/>
    <s v="Credit Card"/>
    <x v="18"/>
    <x v="1"/>
    <n v="10"/>
    <n v="80"/>
    <n v="800"/>
    <n v="77.599999999999994"/>
  </r>
  <r>
    <n v="1216"/>
    <x v="8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7"/>
    <n v="94.5"/>
    <n v="9.072000000000001"/>
  </r>
  <r>
    <n v="1217"/>
    <x v="8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97"/>
    <n v="3880"/>
    <n v="380.24"/>
  </r>
  <r>
    <n v="1218"/>
    <x v="7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2"/>
    <n v="772.8"/>
    <n v="80.371200000000002"/>
  </r>
  <r>
    <n v="1219"/>
    <x v="74"/>
    <n v="28"/>
    <x v="7"/>
    <s v="789 28th Street"/>
    <x v="6"/>
    <s v="TN"/>
    <n v="99999"/>
    <s v="USA"/>
    <x v="5"/>
    <x v="3"/>
    <n v="41850"/>
    <x v="2"/>
    <s v="Amritansh Raghav"/>
    <s v="789 28th Street"/>
    <s v="Memphis"/>
    <s v="TN"/>
    <n v="99999"/>
    <x v="0"/>
    <s v="Credit Card"/>
    <x v="5"/>
    <x v="0"/>
    <n v="46"/>
    <n v="24"/>
    <n v="1104"/>
    <n v="105.98399999999999"/>
  </r>
  <r>
    <n v="1220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8"/>
    <x v="4"/>
    <n v="9.65"/>
    <n v="90"/>
    <n v="868.5"/>
    <n v="83.376000000000005"/>
  </r>
  <r>
    <n v="1221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7"/>
    <x v="3"/>
    <n v="12.75"/>
    <n v="28"/>
    <n v="357"/>
    <n v="35.700000000000003"/>
  </r>
  <r>
    <n v="1222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heck"/>
    <x v="5"/>
    <x v="0"/>
    <n v="46"/>
    <n v="28"/>
    <n v="1288"/>
    <n v="133.95200000000003"/>
  </r>
  <r>
    <n v="1223"/>
    <x v="86"/>
    <n v="8"/>
    <x v="3"/>
    <s v="123 8th Street"/>
    <x v="2"/>
    <s v="OR"/>
    <n v="99999"/>
    <s v="USA"/>
    <x v="2"/>
    <x v="2"/>
    <d v="2014-08-10T00:00:00"/>
    <x v="2"/>
    <s v="Elizabeth Andersen"/>
    <s v="123 8th Street"/>
    <s v="Portland"/>
    <s v="OR"/>
    <n v="99999"/>
    <x v="0"/>
    <s v="Check"/>
    <x v="7"/>
    <x v="3"/>
    <n v="12.75"/>
    <n v="57"/>
    <n v="726.75"/>
    <n v="69.768000000000001"/>
  </r>
  <r>
    <n v="1224"/>
    <x v="87"/>
    <n v="10"/>
    <x v="8"/>
    <s v="123 10th Street"/>
    <x v="7"/>
    <s v="IL"/>
    <n v="99999"/>
    <s v="USA"/>
    <x v="6"/>
    <x v="1"/>
    <d v="2014-08-12T00:00:00"/>
    <x v="0"/>
    <s v="Roland Wacker"/>
    <s v="123 10th Street"/>
    <s v="Chicago"/>
    <s v="IL"/>
    <n v="99999"/>
    <x v="0"/>
    <s v="Credit Card"/>
    <x v="10"/>
    <x v="0"/>
    <n v="2.99"/>
    <n v="23"/>
    <n v="68.77000000000001"/>
    <n v="6.6706900000000013"/>
  </r>
  <r>
    <n v="1225"/>
    <x v="88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86"/>
    <n v="3956"/>
    <n v="399.55600000000004"/>
  </r>
  <r>
    <n v="1226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1"/>
    <x v="6"/>
    <n v="25"/>
    <n v="47"/>
    <n v="1175"/>
    <n v="116.325"/>
  </r>
  <r>
    <n v="1227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2"/>
    <x v="7"/>
    <n v="22"/>
    <n v="97"/>
    <n v="2134"/>
    <n v="221.93600000000001"/>
  </r>
  <r>
    <n v="1228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6"/>
    <x v="2"/>
    <n v="9.1999999999999993"/>
    <n v="96"/>
    <n v="883.19999999999993"/>
    <n v="86.553599999999989"/>
  </r>
  <r>
    <n v="1229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31"/>
    <n v="108.5"/>
    <n v="10.850000000000001"/>
  </r>
  <r>
    <n v="1230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2"/>
    <n v="155.48000000000002"/>
    <n v="16.014440000000004"/>
  </r>
  <r>
    <n v="1231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1"/>
    <n v="1638"/>
    <n v="158.886"/>
  </r>
  <r>
    <n v="1232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4"/>
    <n v="644"/>
    <n v="63.756000000000007"/>
  </r>
  <r>
    <n v="1233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44"/>
    <n v="131.56"/>
    <n v="13.287560000000001"/>
  </r>
  <r>
    <n v="1234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8"/>
    <x v="4"/>
    <n v="9.65"/>
    <n v="97"/>
    <n v="936.05000000000007"/>
    <n v="95.477100000000021"/>
  </r>
  <r>
    <n v="1235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13"/>
    <x v="8"/>
    <n v="18.399999999999999"/>
    <n v="80"/>
    <n v="1472"/>
    <n v="150.14400000000003"/>
  </r>
  <r>
    <n v="1236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4"/>
    <x v="9"/>
    <n v="19.5"/>
    <n v="66"/>
    <n v="1287"/>
    <n v="132.56100000000001"/>
  </r>
  <r>
    <n v="1237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5"/>
    <x v="10"/>
    <n v="34.799999999999997"/>
    <n v="32"/>
    <n v="1113.5999999999999"/>
    <n v="111.36"/>
  </r>
  <r>
    <n v="1238"/>
    <x v="92"/>
    <n v="6"/>
    <x v="6"/>
    <s v="123 6th Street"/>
    <x v="5"/>
    <s v="WI"/>
    <n v="99999"/>
    <s v="USA"/>
    <x v="4"/>
    <x v="2"/>
    <d v="2014-08-08T00:00:00"/>
    <x v="0"/>
    <s v="Francisco Pérez-Olaeta"/>
    <s v="123 6th Street"/>
    <s v="Milwaukee"/>
    <s v="WI"/>
    <n v="99999"/>
    <x v="0"/>
    <s v="Credit Card"/>
    <x v="0"/>
    <x v="0"/>
    <n v="14"/>
    <n v="52"/>
    <n v="728"/>
    <n v="72.8"/>
  </r>
  <r>
    <n v="1239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9"/>
    <x v="5"/>
    <n v="40"/>
    <n v="78"/>
    <n v="3120"/>
    <n v="318.24"/>
  </r>
  <r>
    <n v="1240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6"/>
    <x v="2"/>
    <n v="9.1999999999999993"/>
    <n v="54"/>
    <n v="496.79999999999995"/>
    <n v="49.183199999999999"/>
  </r>
  <r>
    <n v="1241"/>
    <x v="93"/>
    <n v="25"/>
    <x v="13"/>
    <s v="789 25th Street"/>
    <x v="7"/>
    <s v="IL"/>
    <n v="99999"/>
    <s v="USA"/>
    <x v="6"/>
    <x v="1"/>
    <d v="2014-08-27T00:00:00"/>
    <x v="1"/>
    <s v="John Rodman"/>
    <s v="789 25th Street"/>
    <s v="Chicago"/>
    <s v="IL"/>
    <n v="99999"/>
    <x v="0"/>
    <s v="Cash"/>
    <x v="21"/>
    <x v="2"/>
    <n v="10"/>
    <n v="55"/>
    <n v="550"/>
    <n v="52.25"/>
  </r>
  <r>
    <n v="1242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22"/>
    <x v="13"/>
    <n v="21.35"/>
    <n v="60"/>
    <n v="1281"/>
    <n v="129.381"/>
  </r>
  <r>
    <n v="1243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8"/>
    <x v="4"/>
    <n v="9.65"/>
    <n v="19"/>
    <n v="183.35"/>
    <n v="17.41825"/>
  </r>
  <r>
    <n v="1244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13"/>
    <x v="8"/>
    <n v="18.399999999999999"/>
    <n v="66"/>
    <n v="1214.3999999999999"/>
    <n v="125.08320000000001"/>
  </r>
  <r>
    <n v="1245"/>
    <x v="95"/>
    <n v="29"/>
    <x v="4"/>
    <s v="789 29th Street"/>
    <x v="3"/>
    <s v="CO"/>
    <n v="99999"/>
    <s v="USA"/>
    <x v="3"/>
    <x v="0"/>
    <d v="2014-08-31T00:00:00"/>
    <x v="0"/>
    <s v="Soo Jung Lee"/>
    <s v="789 29th Street"/>
    <s v="Denver"/>
    <s v="CO"/>
    <n v="99999"/>
    <x v="0"/>
    <s v="Check"/>
    <x v="0"/>
    <x v="0"/>
    <n v="14"/>
    <n v="42"/>
    <n v="588"/>
    <n v="59.388000000000005"/>
  </r>
  <r>
    <n v="1246"/>
    <x v="92"/>
    <n v="6"/>
    <x v="6"/>
    <s v="123 6th Street"/>
    <x v="5"/>
    <s v="WI"/>
    <n v="99999"/>
    <s v="USA"/>
    <x v="4"/>
    <x v="2"/>
    <n v="41859"/>
    <x v="2"/>
    <s v="Francisco Pérez-Olaeta"/>
    <s v="123 6th Street"/>
    <s v="Milwaukee"/>
    <s v="WI"/>
    <n v="99999"/>
    <x v="0"/>
    <s v="Check"/>
    <x v="7"/>
    <x v="3"/>
    <n v="12.75"/>
    <n v="72"/>
    <n v="918"/>
    <n v="89.046000000000006"/>
  </r>
  <r>
    <n v="1248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3"/>
    <x v="6"/>
    <n v="81"/>
    <n v="32"/>
    <n v="2592"/>
    <n v="251.42399999999998"/>
  </r>
  <r>
    <n v="1249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4"/>
    <x v="14"/>
    <n v="7"/>
    <n v="76"/>
    <n v="532"/>
    <n v="53.732000000000006"/>
  </r>
  <r>
    <n v="1250"/>
    <x v="97"/>
    <n v="10"/>
    <x v="8"/>
    <s v="123 10th Street"/>
    <x v="7"/>
    <s v="IL"/>
    <n v="99999"/>
    <s v="USA"/>
    <x v="6"/>
    <x v="1"/>
    <n v="41894"/>
    <x v="1"/>
    <s v="Roland Wacker"/>
    <s v="123 10th Street"/>
    <s v="Chicago"/>
    <s v="IL"/>
    <n v="99999"/>
    <x v="0"/>
    <m/>
    <x v="6"/>
    <x v="2"/>
    <n v="9.1999999999999993"/>
    <n v="83"/>
    <n v="763.59999999999991"/>
    <n v="74.832799999999992"/>
  </r>
  <r>
    <n v="1251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91"/>
    <n v="318.5"/>
    <n v="31.213000000000001"/>
  </r>
  <r>
    <n v="1252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4"/>
    <n v="191.36"/>
    <n v="19.518720000000002"/>
  </r>
  <r>
    <n v="1253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8"/>
    <n v="1044"/>
    <n v="103.35600000000001"/>
  </r>
  <r>
    <n v="1254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97"/>
    <n v="4462"/>
    <n v="464.04800000000006"/>
  </r>
  <r>
    <n v="1255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14"/>
    <n v="41.86"/>
    <n v="4.35344"/>
  </r>
  <r>
    <n v="1256"/>
    <x v="100"/>
    <n v="28"/>
    <x v="7"/>
    <s v="789 28th Street"/>
    <x v="6"/>
    <s v="TN"/>
    <n v="99999"/>
    <s v="USA"/>
    <x v="5"/>
    <x v="3"/>
    <d v="2014-09-30T00:00:00"/>
    <x v="2"/>
    <s v="Amritansh Raghav"/>
    <s v="789 28th Street"/>
    <s v="Memphis"/>
    <s v="TN"/>
    <n v="99999"/>
    <x v="0"/>
    <s v="Credit Card"/>
    <x v="8"/>
    <x v="4"/>
    <n v="9.65"/>
    <n v="68"/>
    <n v="656.2"/>
    <n v="64.307600000000008"/>
  </r>
  <r>
    <n v="1257"/>
    <x v="100"/>
    <n v="28"/>
    <x v="7"/>
    <s v="789 28th Street"/>
    <x v="6"/>
    <s v="TN"/>
    <n v="99999"/>
    <s v="USA"/>
    <x v="5"/>
    <x v="3"/>
    <n v="41912"/>
    <x v="2"/>
    <s v="Amritansh Raghav"/>
    <s v="789 28th Street"/>
    <s v="Memphis"/>
    <s v="TN"/>
    <n v="99999"/>
    <x v="0"/>
    <s v="Credit Card"/>
    <x v="13"/>
    <x v="8"/>
    <n v="18.399999999999999"/>
    <n v="32"/>
    <n v="588.79999999999995"/>
    <n v="58.879999999999995"/>
  </r>
  <r>
    <n v="1258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4"/>
    <x v="9"/>
    <n v="19.5"/>
    <n v="48"/>
    <n v="936"/>
    <n v="94.536000000000016"/>
  </r>
  <r>
    <n v="1259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5"/>
    <x v="10"/>
    <n v="34.799999999999997"/>
    <n v="57"/>
    <n v="1983.6"/>
    <n v="194.39280000000002"/>
  </r>
  <r>
    <n v="1260"/>
    <x v="102"/>
    <n v="6"/>
    <x v="6"/>
    <s v="123 6th Street"/>
    <x v="5"/>
    <s v="WI"/>
    <n v="99999"/>
    <s v="USA"/>
    <x v="4"/>
    <x v="2"/>
    <d v="2014-09-08T00:00:00"/>
    <x v="0"/>
    <s v="Francisco Pérez-Olaeta"/>
    <s v="123 6th Street"/>
    <s v="Milwaukee"/>
    <s v="WI"/>
    <n v="99999"/>
    <x v="0"/>
    <s v="Credit Card"/>
    <x v="0"/>
    <x v="0"/>
    <n v="14"/>
    <n v="67"/>
    <n v="938"/>
    <n v="98.490000000000009"/>
  </r>
  <r>
    <n v="1261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262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6"/>
    <x v="2"/>
    <n v="9.1999999999999993"/>
    <n v="77"/>
    <n v="708.4"/>
    <n v="72.256799999999998"/>
  </r>
  <r>
    <n v="1263"/>
    <x v="104"/>
    <n v="25"/>
    <x v="13"/>
    <s v="789 25th Street"/>
    <x v="7"/>
    <s v="IL"/>
    <n v="99999"/>
    <s v="USA"/>
    <x v="6"/>
    <x v="1"/>
    <n v="41909"/>
    <x v="1"/>
    <s v="John Rodman"/>
    <s v="789 25th Street"/>
    <s v="Chicago"/>
    <s v="IL"/>
    <n v="99999"/>
    <x v="0"/>
    <s v="Cash"/>
    <x v="21"/>
    <x v="2"/>
    <n v="10"/>
    <n v="94"/>
    <n v="940"/>
    <n v="97.76"/>
  </r>
  <r>
    <n v="1264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22"/>
    <x v="13"/>
    <n v="21.35"/>
    <n v="54"/>
    <n v="1152.9000000000001"/>
    <n v="121.05450000000003"/>
  </r>
  <r>
    <n v="1265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8"/>
    <x v="4"/>
    <n v="9.65"/>
    <n v="43"/>
    <n v="414.95"/>
    <n v="40.250150000000005"/>
  </r>
  <r>
    <n v="1266"/>
    <x v="105"/>
    <n v="26"/>
    <x v="14"/>
    <s v="789 26th Street"/>
    <x v="9"/>
    <s v="FL"/>
    <n v="99999"/>
    <s v="USA"/>
    <x v="5"/>
    <x v="3"/>
    <d v="2014-09-28T00:00:00"/>
    <x v="2"/>
    <s v="Run Liu"/>
    <s v="789 26th Street"/>
    <s v="Miami"/>
    <s v="FL"/>
    <n v="99999"/>
    <x v="0"/>
    <s v="Credit Card"/>
    <x v="13"/>
    <x v="8"/>
    <n v="18.399999999999999"/>
    <n v="71"/>
    <n v="1306.3999999999999"/>
    <n v="134.55919999999998"/>
  </r>
  <r>
    <n v="1267"/>
    <x v="106"/>
    <n v="29"/>
    <x v="4"/>
    <s v="789 29th Street"/>
    <x v="3"/>
    <s v="CO"/>
    <n v="99999"/>
    <s v="USA"/>
    <x v="3"/>
    <x v="0"/>
    <d v="2014-10-01T00:00:00"/>
    <x v="0"/>
    <s v="Soo Jung Lee"/>
    <s v="789 29th Street"/>
    <s v="Denver"/>
    <s v="CO"/>
    <n v="99999"/>
    <x v="0"/>
    <s v="Check"/>
    <x v="0"/>
    <x v="0"/>
    <n v="14"/>
    <n v="50"/>
    <n v="700"/>
    <n v="67.2"/>
  </r>
  <r>
    <n v="1268"/>
    <x v="102"/>
    <n v="6"/>
    <x v="6"/>
    <s v="123 6th Street"/>
    <x v="5"/>
    <s v="WI"/>
    <n v="99999"/>
    <s v="USA"/>
    <x v="4"/>
    <x v="2"/>
    <d v="2014-09-08T00:00:00"/>
    <x v="2"/>
    <s v="Francisco Pérez-Olaeta"/>
    <s v="123 6th Street"/>
    <s v="Milwaukee"/>
    <s v="WI"/>
    <n v="99999"/>
    <x v="0"/>
    <s v="Check"/>
    <x v="7"/>
    <x v="3"/>
    <n v="12.75"/>
    <n v="96"/>
    <n v="1224"/>
    <n v="119.952"/>
  </r>
  <r>
    <n v="1270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3"/>
    <x v="6"/>
    <n v="81"/>
    <n v="54"/>
    <n v="4374"/>
    <n v="437.40000000000003"/>
  </r>
  <r>
    <n v="1271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4"/>
    <x v="14"/>
    <n v="7"/>
    <n v="39"/>
    <n v="273"/>
    <n v="27.3"/>
  </r>
  <r>
    <n v="1273"/>
    <x v="103"/>
    <n v="8"/>
    <x v="3"/>
    <s v="123 8th Street"/>
    <x v="2"/>
    <s v="OR"/>
    <n v="99999"/>
    <s v="USA"/>
    <x v="2"/>
    <x v="2"/>
    <d v="2014-09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30.202"/>
  </r>
  <r>
    <n v="1276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16"/>
    <x v="7"/>
    <n v="10"/>
    <n v="71"/>
    <n v="710"/>
    <n v="73.13"/>
  </r>
  <r>
    <n v="1277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9"/>
    <x v="5"/>
    <n v="40"/>
    <n v="88"/>
    <n v="3520"/>
    <n v="366.08000000000004"/>
  </r>
  <r>
    <n v="1281"/>
    <x v="97"/>
    <n v="10"/>
    <x v="8"/>
    <s v="123 10th Street"/>
    <x v="7"/>
    <s v="IL"/>
    <n v="99999"/>
    <s v="USA"/>
    <x v="6"/>
    <x v="1"/>
    <d v="2014-09-12T00:00:00"/>
    <x v="0"/>
    <s v="Roland Wacker"/>
    <s v="123 10th Street"/>
    <s v="Chicago"/>
    <s v="IL"/>
    <n v="99999"/>
    <x v="0"/>
    <s v="Credit Card"/>
    <x v="18"/>
    <x v="1"/>
    <n v="10"/>
    <n v="59"/>
    <n v="590"/>
    <n v="59.59"/>
  </r>
  <r>
    <n v="1282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9"/>
    <x v="5"/>
    <n v="40"/>
    <n v="94"/>
    <n v="3760"/>
    <n v="376"/>
  </r>
  <r>
    <n v="1283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heck"/>
    <x v="5"/>
    <x v="0"/>
    <n v="46"/>
    <n v="86"/>
    <n v="3956"/>
    <n v="379.77600000000001"/>
  </r>
  <r>
    <n v="1284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heck"/>
    <x v="7"/>
    <x v="3"/>
    <n v="12.75"/>
    <n v="61"/>
    <n v="777.75"/>
    <n v="78.552750000000003"/>
  </r>
  <r>
    <n v="1285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0"/>
    <x v="0"/>
    <n v="2.99"/>
    <n v="32"/>
    <n v="95.68"/>
    <n v="9.7593600000000009"/>
  </r>
  <r>
    <n v="1286"/>
    <x v="11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62"/>
    <n v="2852"/>
    <n v="290.904"/>
  </r>
  <r>
    <n v="1287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1"/>
    <x v="6"/>
    <n v="25"/>
    <n v="60"/>
    <n v="1500"/>
    <n v="154.5"/>
  </r>
  <r>
    <n v="1288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2"/>
    <x v="7"/>
    <n v="22"/>
    <n v="51"/>
    <n v="1122"/>
    <n v="109.956"/>
  </r>
  <r>
    <n v="1289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6"/>
    <x v="2"/>
    <n v="9.1999999999999993"/>
    <n v="49"/>
    <n v="450.79999999999995"/>
    <n v="44.629199999999997"/>
  </r>
  <r>
    <n v="1290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0"/>
    <n v="70"/>
    <n v="6.93"/>
  </r>
  <r>
    <n v="1291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4.651000000000003"/>
  </r>
  <r>
    <n v="1292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2"/>
    <n v="396"/>
    <n v="38.015999999999998"/>
  </r>
  <r>
    <n v="1293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3"/>
    <n v="3358"/>
    <n v="339.15800000000002"/>
  </r>
  <r>
    <n v="1294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5"/>
    <n v="254.15"/>
    <n v="24.652550000000002"/>
  </r>
  <r>
    <n v="129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8"/>
    <x v="4"/>
    <n v="9.65"/>
    <n v="44"/>
    <n v="424.6"/>
    <n v="44.158400000000007"/>
  </r>
  <r>
    <n v="1296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13"/>
    <x v="8"/>
    <n v="18.399999999999999"/>
    <n v="24"/>
    <n v="441.59999999999997"/>
    <n v="42.835199999999993"/>
  </r>
  <r>
    <n v="1297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4"/>
    <x v="9"/>
    <n v="19.5"/>
    <n v="64"/>
    <n v="1248"/>
    <n v="119.80800000000001"/>
  </r>
  <r>
    <n v="1298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5"/>
    <x v="10"/>
    <n v="34.799999999999997"/>
    <n v="70"/>
    <n v="2436"/>
    <n v="246.03600000000003"/>
  </r>
  <r>
    <n v="1299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0"/>
    <x v="0"/>
    <n v="14"/>
    <n v="98"/>
    <n v="1372"/>
    <n v="138.57200000000003"/>
  </r>
  <r>
    <n v="1300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301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6"/>
    <x v="2"/>
    <n v="9.1999999999999993"/>
    <n v="100"/>
    <n v="919.99999999999989"/>
    <n v="91.08"/>
  </r>
  <r>
    <n v="1302"/>
    <x v="117"/>
    <n v="25"/>
    <x v="13"/>
    <s v="789 25th Street"/>
    <x v="7"/>
    <s v="IL"/>
    <n v="99999"/>
    <s v="USA"/>
    <x v="6"/>
    <x v="1"/>
    <d v="2014-10-27T00:00:00"/>
    <x v="1"/>
    <s v="John Rodman"/>
    <s v="789 25th Street"/>
    <s v="Chicago"/>
    <s v="IL"/>
    <n v="99999"/>
    <x v="0"/>
    <s v="Cash"/>
    <x v="21"/>
    <x v="2"/>
    <n v="10"/>
    <n v="90"/>
    <n v="900"/>
    <n v="87.3"/>
  </r>
  <r>
    <n v="1303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22"/>
    <x v="13"/>
    <n v="21.35"/>
    <n v="49"/>
    <n v="1046.1500000000001"/>
    <n v="102.5227"/>
  </r>
  <r>
    <n v="1304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8"/>
    <x v="4"/>
    <n v="9.65"/>
    <n v="71"/>
    <n v="685.15"/>
    <n v="65.7744"/>
  </r>
  <r>
    <n v="1305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13"/>
    <x v="8"/>
    <n v="18.399999999999999"/>
    <n v="10"/>
    <n v="184"/>
    <n v="19.136000000000003"/>
  </r>
  <r>
    <n v="1306"/>
    <x v="119"/>
    <n v="29"/>
    <x v="4"/>
    <s v="789 29th Street"/>
    <x v="3"/>
    <s v="CO"/>
    <n v="99999"/>
    <s v="USA"/>
    <x v="3"/>
    <x v="0"/>
    <d v="2014-10-31T00:00:00"/>
    <x v="0"/>
    <s v="Soo Jung Lee"/>
    <s v="789 29th Street"/>
    <s v="Denver"/>
    <s v="CO"/>
    <n v="99999"/>
    <x v="0"/>
    <s v="Check"/>
    <x v="0"/>
    <x v="0"/>
    <n v="14"/>
    <n v="78"/>
    <n v="1092"/>
    <n v="112.476"/>
  </r>
  <r>
    <n v="1307"/>
    <x v="109"/>
    <n v="6"/>
    <x v="6"/>
    <s v="123 6th Street"/>
    <x v="5"/>
    <s v="WI"/>
    <n v="99999"/>
    <s v="USA"/>
    <x v="4"/>
    <x v="2"/>
    <d v="2014-10-08T00:00:00"/>
    <x v="2"/>
    <s v="Francisco Pérez-Olaeta"/>
    <s v="123 6th Street"/>
    <s v="Milwaukee"/>
    <s v="WI"/>
    <n v="99999"/>
    <x v="0"/>
    <s v="Check"/>
    <x v="7"/>
    <x v="3"/>
    <n v="12.75"/>
    <n v="44"/>
    <n v="561"/>
    <n v="53.856000000000002"/>
  </r>
  <r>
    <n v="1309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3"/>
    <x v="6"/>
    <n v="81"/>
    <n v="82"/>
    <n v="6642"/>
    <n v="697.41000000000008"/>
  </r>
  <r>
    <n v="1310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4"/>
    <x v="14"/>
    <n v="7"/>
    <n v="29"/>
    <n v="203"/>
    <n v="20.3"/>
  </r>
  <r>
    <n v="1312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redit Card"/>
    <x v="15"/>
    <x v="10"/>
    <n v="34.799999999999997"/>
    <n v="93"/>
    <n v="3236.3999999999996"/>
    <n v="313.93079999999998"/>
  </r>
  <r>
    <n v="1315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16"/>
    <x v="7"/>
    <n v="10"/>
    <n v="11"/>
    <n v="110"/>
    <n v="11.440000000000001"/>
  </r>
  <r>
    <n v="1316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9"/>
    <x v="5"/>
    <n v="40"/>
    <n v="91"/>
    <n v="3640"/>
    <n v="364"/>
  </r>
  <r>
    <n v="1320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8"/>
    <x v="1"/>
    <n v="10"/>
    <n v="12"/>
    <n v="120"/>
    <n v="12.36"/>
  </r>
  <r>
    <n v="1322"/>
    <x v="11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78"/>
    <n v="273"/>
    <n v="27.3"/>
  </r>
  <r>
    <n v="1323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0"/>
    <n v="2400"/>
    <n v="228"/>
  </r>
  <r>
    <n v="1324"/>
    <x v="11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23"/>
    <n v="423.2"/>
    <n v="43.589600000000004"/>
  </r>
  <r>
    <n v="132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5"/>
    <x v="0"/>
    <n v="46"/>
    <n v="34"/>
    <n v="1564"/>
    <n v="157.964"/>
  </r>
  <r>
    <n v="1326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8"/>
    <x v="4"/>
    <n v="9.65"/>
    <n v="89"/>
    <n v="858.85"/>
    <n v="86.743850000000009"/>
  </r>
  <r>
    <n v="1327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7"/>
    <x v="3"/>
    <n v="12.75"/>
    <n v="82"/>
    <n v="1045.5"/>
    <n v="103.50450000000001"/>
  </r>
  <r>
    <n v="1328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7"/>
    <x v="3"/>
    <n v="12.75"/>
    <n v="43"/>
    <n v="548.25"/>
    <n v="52.631999999999998"/>
  </r>
  <r>
    <n v="1329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12"/>
    <x v="7"/>
    <n v="22"/>
    <n v="96"/>
    <n v="2112"/>
    <n v="221.76000000000002"/>
  </r>
  <r>
    <n v="1330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6"/>
    <x v="2"/>
    <n v="9.1999999999999993"/>
    <n v="34"/>
    <n v="312.79999999999995"/>
    <n v="31.279999999999998"/>
  </r>
  <r>
    <n v="1331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2"/>
    <n v="147"/>
    <n v="15.141000000000002"/>
  </r>
  <r>
    <n v="1332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100"/>
    <n v="299"/>
    <n v="30.498000000000001"/>
  </r>
  <r>
    <n v="1333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6.356000000000009"/>
  </r>
  <r>
    <n v="1334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6"/>
    <n v="736"/>
    <n v="70.656000000000006"/>
  </r>
  <r>
    <n v="1335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22"/>
    <n v="65.78"/>
    <n v="6.3806599999999998"/>
  </r>
  <r>
    <n v="133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8"/>
    <x v="4"/>
    <n v="9.65"/>
    <n v="46"/>
    <n v="443.90000000000003"/>
    <n v="45.721700000000006"/>
  </r>
  <r>
    <n v="1337"/>
    <x v="125"/>
    <n v="28"/>
    <x v="7"/>
    <s v="789 28th Street"/>
    <x v="6"/>
    <s v="TN"/>
    <n v="99999"/>
    <s v="USA"/>
    <x v="5"/>
    <x v="3"/>
    <n v="41973"/>
    <x v="2"/>
    <s v="Amritansh Raghav"/>
    <s v="789 28th Street"/>
    <s v="Memphis"/>
    <s v="TN"/>
    <n v="99999"/>
    <x v="0"/>
    <s v="Credit Card"/>
    <x v="13"/>
    <x v="8"/>
    <n v="18.399999999999999"/>
    <n v="100"/>
    <n v="1839.9999999999998"/>
    <n v="184"/>
  </r>
  <r>
    <n v="1338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4"/>
    <x v="9"/>
    <n v="19.5"/>
    <n v="87"/>
    <n v="1696.5"/>
    <n v="174.73950000000002"/>
  </r>
  <r>
    <n v="1339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5"/>
    <x v="10"/>
    <n v="34.799999999999997"/>
    <n v="58"/>
    <n v="2018.3999999999999"/>
    <n v="205.8768"/>
  </r>
  <r>
    <n v="1340"/>
    <x v="127"/>
    <n v="6"/>
    <x v="6"/>
    <s v="123 6th Street"/>
    <x v="5"/>
    <s v="WI"/>
    <n v="99999"/>
    <s v="USA"/>
    <x v="4"/>
    <x v="2"/>
    <n v="41951"/>
    <x v="0"/>
    <s v="Francisco Pérez-Olaeta"/>
    <s v="123 6th Street"/>
    <s v="Milwaukee"/>
    <s v="WI"/>
    <n v="99999"/>
    <x v="0"/>
    <s v="Credit Card"/>
    <x v="0"/>
    <x v="0"/>
    <n v="14"/>
    <n v="85"/>
    <n v="1190"/>
    <n v="120.19"/>
  </r>
  <r>
    <n v="1341"/>
    <x v="128"/>
    <n v="8"/>
    <x v="3"/>
    <s v="123 8th Street"/>
    <x v="2"/>
    <s v="OR"/>
    <n v="99999"/>
    <s v="USA"/>
    <x v="2"/>
    <x v="2"/>
    <n v="41953"/>
    <x v="0"/>
    <s v="Elizabeth Andersen"/>
    <s v="123 8th Street"/>
    <s v="Portland"/>
    <s v="OR"/>
    <n v="99999"/>
    <x v="0"/>
    <s v="Check"/>
    <x v="9"/>
    <x v="5"/>
    <n v="40"/>
    <n v="28"/>
    <n v="1120"/>
    <n v="110.88"/>
  </r>
  <r>
    <n v="1342"/>
    <x v="128"/>
    <n v="8"/>
    <x v="3"/>
    <s v="123 8th Street"/>
    <x v="2"/>
    <s v="OR"/>
    <n v="99999"/>
    <s v="USA"/>
    <x v="2"/>
    <x v="2"/>
    <d v="2014-11-10T00:00:00"/>
    <x v="0"/>
    <s v="Elizabeth Andersen"/>
    <s v="123 8th Street"/>
    <s v="Portland"/>
    <s v="OR"/>
    <n v="99999"/>
    <x v="0"/>
    <s v="Check"/>
    <x v="6"/>
    <x v="2"/>
    <n v="9.1999999999999993"/>
    <n v="19"/>
    <n v="174.79999999999998"/>
    <n v="17.130400000000002"/>
  </r>
  <r>
    <n v="1343"/>
    <x v="129"/>
    <n v="25"/>
    <x v="13"/>
    <s v="789 25th Street"/>
    <x v="7"/>
    <s v="IL"/>
    <n v="99999"/>
    <s v="USA"/>
    <x v="6"/>
    <x v="1"/>
    <d v="2014-11-27T00:00:00"/>
    <x v="1"/>
    <s v="John Rodman"/>
    <s v="789 25th Street"/>
    <s v="Chicago"/>
    <s v="IL"/>
    <n v="99999"/>
    <x v="0"/>
    <s v="Cash"/>
    <x v="21"/>
    <x v="2"/>
    <n v="10"/>
    <n v="99"/>
    <n v="990"/>
    <n v="102.96000000000001"/>
  </r>
  <r>
    <n v="1344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22"/>
    <x v="13"/>
    <n v="21.35"/>
    <n v="69"/>
    <n v="1473.15"/>
    <n v="153.20760000000004"/>
  </r>
  <r>
    <n v="1345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8"/>
    <x v="4"/>
    <n v="9.65"/>
    <n v="37"/>
    <n v="357.05"/>
    <n v="33.919750000000001"/>
  </r>
  <r>
    <n v="1346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8.93759999999999"/>
  </r>
  <r>
    <n v="1347"/>
    <x v="131"/>
    <n v="29"/>
    <x v="4"/>
    <s v="789 29th Street"/>
    <x v="3"/>
    <s v="CO"/>
    <n v="99999"/>
    <s v="USA"/>
    <x v="3"/>
    <x v="0"/>
    <d v="2014-12-01T00:00:00"/>
    <x v="0"/>
    <s v="Soo Jung Lee"/>
    <s v="789 29th Street"/>
    <s v="Denver"/>
    <s v="CO"/>
    <n v="99999"/>
    <x v="0"/>
    <s v="Check"/>
    <x v="0"/>
    <x v="0"/>
    <n v="14"/>
    <n v="38"/>
    <n v="532"/>
    <n v="55.328000000000003"/>
  </r>
  <r>
    <n v="1348"/>
    <x v="127"/>
    <n v="6"/>
    <x v="6"/>
    <s v="123 6th Street"/>
    <x v="5"/>
    <s v="WI"/>
    <n v="99999"/>
    <s v="USA"/>
    <x v="4"/>
    <x v="2"/>
    <d v="2014-11-08T00:00:00"/>
    <x v="2"/>
    <s v="Francisco Pérez-Olaeta"/>
    <s v="123 6th Street"/>
    <s v="Milwaukee"/>
    <s v="WI"/>
    <n v="99999"/>
    <x v="0"/>
    <s v="Check"/>
    <x v="7"/>
    <x v="3"/>
    <n v="12.75"/>
    <n v="15"/>
    <n v="191.25"/>
    <n v="18.55125"/>
  </r>
  <r>
    <n v="1350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3"/>
    <x v="6"/>
    <n v="81"/>
    <n v="52"/>
    <n v="4212"/>
    <n v="412.77600000000001"/>
  </r>
  <r>
    <n v="1351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4"/>
    <x v="14"/>
    <n v="7"/>
    <n v="37"/>
    <n v="259"/>
    <n v="25.382000000000001"/>
  </r>
  <r>
    <n v="1353"/>
    <x v="128"/>
    <n v="8"/>
    <x v="3"/>
    <s v="123 8th Street"/>
    <x v="2"/>
    <s v="OR"/>
    <n v="99999"/>
    <s v="USA"/>
    <x v="2"/>
    <x v="2"/>
    <d v="2014-11-10T00:00:00"/>
    <x v="2"/>
    <s v="Elizabeth Andersen"/>
    <s v="123 8th Street"/>
    <s v="Portland"/>
    <s v="OR"/>
    <n v="99999"/>
    <x v="0"/>
    <s v="Credit Card"/>
    <x v="15"/>
    <x v="10"/>
    <n v="34.799999999999997"/>
    <n v="24"/>
    <n v="835.19999999999993"/>
    <n v="80.179199999999994"/>
  </r>
  <r>
    <n v="1356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16"/>
    <x v="7"/>
    <n v="10"/>
    <n v="36"/>
    <n v="360"/>
    <n v="37.08"/>
  </r>
  <r>
    <n v="1357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9"/>
    <x v="5"/>
    <n v="40"/>
    <n v="24"/>
    <n v="960"/>
    <n v="96"/>
  </r>
  <r>
    <n v="1361"/>
    <x v="122"/>
    <n v="10"/>
    <x v="8"/>
    <s v="123 10th Street"/>
    <x v="7"/>
    <s v="IL"/>
    <n v="99999"/>
    <s v="USA"/>
    <x v="6"/>
    <x v="1"/>
    <d v="2014-11-12T00:00:00"/>
    <x v="0"/>
    <s v="Roland Wacker"/>
    <s v="123 10th Street"/>
    <s v="Chicago"/>
    <s v="IL"/>
    <n v="99999"/>
    <x v="0"/>
    <s v="Credit Card"/>
    <x v="18"/>
    <x v="1"/>
    <n v="10"/>
    <n v="20"/>
    <n v="200"/>
    <n v="20"/>
  </r>
  <r>
    <n v="1363"/>
    <x v="12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11"/>
    <n v="38.5"/>
    <n v="3.7345000000000002"/>
  </r>
  <r>
    <n v="1364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8"/>
    <n v="3120"/>
    <n v="299.52"/>
  </r>
  <r>
    <n v="1365"/>
    <x v="124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6"/>
    <n v="1398.3999999999999"/>
    <n v="144.0352"/>
  </r>
  <r>
    <n v="136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5"/>
    <x v="0"/>
    <n v="46"/>
    <n v="57"/>
    <n v="2622"/>
    <n v="272.68799999999999"/>
  </r>
  <r>
    <n v="1367"/>
    <x v="126"/>
    <n v="9"/>
    <x v="12"/>
    <s v="123 9th Street"/>
    <x v="11"/>
    <s v="UT"/>
    <n v="99999"/>
    <s v="USA"/>
    <x v="7"/>
    <x v="0"/>
    <d v="2014-11-11T00:00:00"/>
    <x v="1"/>
    <s v="Sven Mortensen"/>
    <s v="123 9th Street"/>
    <s v="Salt Lake City"/>
    <s v="UT"/>
    <n v="99999"/>
    <x v="0"/>
    <s v="Check"/>
    <x v="8"/>
    <x v="4"/>
    <n v="9.65"/>
    <n v="14"/>
    <n v="135.1"/>
    <n v="12.9696"/>
  </r>
  <r>
    <n v="1368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0"/>
    <x v="0"/>
    <n v="14"/>
    <n v="14"/>
    <n v="196"/>
    <n v="19.796000000000003"/>
  </r>
  <r>
    <n v="1369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1"/>
    <x v="1"/>
    <n v="3.5"/>
    <n v="70"/>
    <n v="245"/>
    <n v="25.234999999999999"/>
  </r>
  <r>
    <n v="1370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"/>
    <x v="1"/>
    <n v="30"/>
    <n v="100"/>
    <n v="3000"/>
    <n v="291"/>
  </r>
  <r>
    <n v="1371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3"/>
    <x v="1"/>
    <n v="53"/>
    <n v="27"/>
    <n v="1431"/>
    <n v="143.1"/>
  </r>
  <r>
    <n v="1372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1"/>
    <x v="1"/>
    <n v="3.5"/>
    <n v="70"/>
    <n v="245"/>
    <n v="24.009999999999998"/>
  </r>
  <r>
    <n v="1373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4"/>
    <x v="0"/>
    <n v="18"/>
    <n v="57"/>
    <n v="1026"/>
    <n v="102.60000000000001"/>
  </r>
  <r>
    <n v="1374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5"/>
    <x v="0"/>
    <n v="46"/>
    <n v="83"/>
    <n v="3818"/>
    <n v="374.16399999999999"/>
  </r>
  <r>
    <n v="1375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6"/>
    <x v="2"/>
    <n v="9.1999999999999993"/>
    <n v="76"/>
    <n v="699.19999999999993"/>
    <n v="67.123199999999997"/>
  </r>
  <r>
    <n v="1376"/>
    <x v="135"/>
    <n v="4"/>
    <x v="1"/>
    <s v="123 4th Street"/>
    <x v="1"/>
    <s v="NY"/>
    <n v="99999"/>
    <s v="USA"/>
    <x v="1"/>
    <x v="1"/>
    <n v="41979"/>
    <x v="2"/>
    <s v="Christina Lee"/>
    <s v="123 4th Street"/>
    <s v="New York"/>
    <s v="NY"/>
    <n v="99999"/>
    <x v="0"/>
    <s v="Check"/>
    <x v="6"/>
    <x v="2"/>
    <n v="9.1999999999999993"/>
    <n v="80"/>
    <n v="736"/>
    <n v="72.864000000000004"/>
  </r>
  <r>
    <n v="1377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7"/>
    <x v="3"/>
    <n v="12.75"/>
    <n v="47"/>
    <n v="599.25"/>
    <n v="59.325750000000006"/>
  </r>
  <r>
    <n v="1378"/>
    <x v="139"/>
    <n v="3"/>
    <x v="5"/>
    <s v="123 3rd Street"/>
    <x v="4"/>
    <s v="CA"/>
    <n v="99999"/>
    <s v="USA"/>
    <x v="0"/>
    <x v="0"/>
    <n v="41978"/>
    <x v="0"/>
    <s v="Thomas Axerr"/>
    <s v="123 3rd Street"/>
    <s v="Los Angelas"/>
    <s v="CA"/>
    <n v="99999"/>
    <x v="0"/>
    <s v="Cash"/>
    <x v="8"/>
    <x v="4"/>
    <n v="9.65"/>
    <n v="96"/>
    <n v="926.40000000000009"/>
    <n v="94.492800000000017"/>
  </r>
  <r>
    <n v="1379"/>
    <x v="140"/>
    <n v="6"/>
    <x v="6"/>
    <s v="123 6th Street"/>
    <x v="5"/>
    <s v="WI"/>
    <n v="99999"/>
    <s v="USA"/>
    <x v="4"/>
    <x v="2"/>
    <n v="41981"/>
    <x v="0"/>
    <s v="Francisco Pérez-Olaeta"/>
    <s v="123 6th Street"/>
    <s v="Milwaukee"/>
    <s v="WI"/>
    <n v="99999"/>
    <x v="0"/>
    <s v="Credit Card"/>
    <x v="9"/>
    <x v="5"/>
    <n v="40"/>
    <n v="32"/>
    <n v="1280"/>
    <n v="134.4"/>
  </r>
  <r>
    <n v="1380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heck"/>
    <x v="5"/>
    <x v="0"/>
    <n v="46"/>
    <n v="16"/>
    <n v="736"/>
    <n v="73.600000000000009"/>
  </r>
  <r>
    <n v="1381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heck"/>
    <x v="7"/>
    <x v="3"/>
    <n v="12.75"/>
    <n v="41"/>
    <n v="522.75"/>
    <n v="51.229500000000002"/>
  </r>
  <r>
    <n v="1382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0"/>
    <x v="0"/>
    <n v="2.99"/>
    <n v="41"/>
    <n v="122.59"/>
    <n v="12.871950000000002"/>
  </r>
  <r>
    <n v="1383"/>
    <x v="14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41"/>
    <n v="1886"/>
    <n v="194.25800000000004"/>
  </r>
  <r>
    <n v="1384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1"/>
    <x v="6"/>
    <n v="25"/>
    <n v="94"/>
    <n v="2350"/>
    <n v="235"/>
  </r>
  <r>
    <n v="1385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2"/>
    <x v="7"/>
    <n v="22"/>
    <n v="20"/>
    <n v="440"/>
    <n v="46.2"/>
  </r>
  <r>
    <n v="1386"/>
    <x v="142"/>
    <n v="10"/>
    <x v="8"/>
    <s v="123 10th Street"/>
    <x v="7"/>
    <s v="IL"/>
    <n v="99999"/>
    <s v="USA"/>
    <x v="6"/>
    <x v="1"/>
    <n v="41985"/>
    <x v="1"/>
    <s v="Roland Wacker"/>
    <s v="123 10th Street"/>
    <s v="Chicago"/>
    <s v="IL"/>
    <n v="99999"/>
    <x v="0"/>
    <m/>
    <x v="6"/>
    <x v="2"/>
    <n v="9.1999999999999993"/>
    <n v="13"/>
    <n v="119.6"/>
    <n v="12.438400000000001"/>
  </r>
  <r>
    <n v="1387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4"/>
    <n v="259"/>
    <n v="26.936000000000003"/>
  </r>
  <r>
    <n v="1388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3"/>
    <n v="158.47"/>
    <n v="16.005470000000003"/>
  </r>
  <r>
    <n v="1389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9"/>
    <n v="1782"/>
    <n v="174.63600000000002"/>
  </r>
  <r>
    <n v="1390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89"/>
    <n v="4094"/>
    <n v="388.93"/>
  </r>
  <r>
    <n v="1391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4"/>
    <n v="191.36"/>
    <n v="19.518720000000002"/>
  </r>
  <r>
    <n v="139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8"/>
    <x v="4"/>
    <n v="9.65"/>
    <n v="98"/>
    <n v="945.7"/>
    <n v="96.461400000000012"/>
  </r>
  <r>
    <n v="1393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13"/>
    <x v="8"/>
    <n v="18.399999999999999"/>
    <n v="86"/>
    <n v="1582.3999999999999"/>
    <n v="155.0752"/>
  </r>
  <r>
    <n v="1394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4"/>
    <x v="9"/>
    <n v="19.5"/>
    <n v="20"/>
    <n v="390"/>
    <n v="40.950000000000003"/>
  </r>
  <r>
    <n v="1395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5"/>
    <x v="10"/>
    <n v="34.799999999999997"/>
    <n v="69"/>
    <n v="2401.1999999999998"/>
    <n v="240.12"/>
  </r>
  <r>
    <n v="1396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0"/>
    <x v="0"/>
    <n v="14"/>
    <n v="68"/>
    <n v="952"/>
    <n v="91.391999999999996"/>
  </r>
  <r>
    <n v="1397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9"/>
    <x v="5"/>
    <n v="40"/>
    <n v="52"/>
    <n v="2080"/>
    <n v="203.84"/>
  </r>
  <r>
    <n v="1398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6"/>
    <x v="2"/>
    <n v="9.1999999999999993"/>
    <n v="40"/>
    <n v="368"/>
    <n v="38.640000000000008"/>
  </r>
  <r>
    <n v="1399"/>
    <x v="147"/>
    <n v="25"/>
    <x v="13"/>
    <s v="789 25th Street"/>
    <x v="7"/>
    <s v="IL"/>
    <n v="99999"/>
    <s v="USA"/>
    <x v="6"/>
    <x v="1"/>
    <d v="2014-12-27T00:00:00"/>
    <x v="1"/>
    <s v="John Rodman"/>
    <s v="789 25th Street"/>
    <s v="Chicago"/>
    <s v="IL"/>
    <n v="99999"/>
    <x v="0"/>
    <s v="Cash"/>
    <x v="21"/>
    <x v="2"/>
    <n v="10"/>
    <n v="100"/>
    <n v="1000"/>
    <n v="98"/>
  </r>
  <r>
    <n v="1400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22"/>
    <x v="13"/>
    <n v="21.35"/>
    <n v="88"/>
    <n v="1878.8000000000002"/>
    <n v="184.12240000000003"/>
  </r>
  <r>
    <n v="1401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8"/>
    <x v="4"/>
    <n v="9.65"/>
    <n v="46"/>
    <n v="443.90000000000003"/>
    <n v="42.614400000000003"/>
  </r>
  <r>
    <n v="1402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13"/>
    <x v="8"/>
    <n v="18.399999999999999"/>
    <n v="93"/>
    <n v="1711.1999999999998"/>
    <n v="167.69759999999999"/>
  </r>
  <r>
    <n v="1403"/>
    <x v="138"/>
    <n v="29"/>
    <x v="4"/>
    <s v="789 29th Street"/>
    <x v="3"/>
    <s v="CO"/>
    <n v="99999"/>
    <s v="USA"/>
    <x v="3"/>
    <x v="0"/>
    <d v="2014-12-31T00:00:00"/>
    <x v="0"/>
    <s v="Soo Jung Lee"/>
    <s v="789 29th Street"/>
    <s v="Denver"/>
    <s v="CO"/>
    <n v="99999"/>
    <x v="0"/>
    <s v="Check"/>
    <x v="0"/>
    <x v="0"/>
    <n v="14"/>
    <n v="96"/>
    <n v="1344"/>
    <n v="141.12"/>
  </r>
  <r>
    <n v="1404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7"/>
    <x v="3"/>
    <n v="12.75"/>
    <n v="12"/>
    <n v="153"/>
    <n v="16.065000000000001"/>
  </r>
  <r>
    <n v="1406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3"/>
    <x v="6"/>
    <n v="81"/>
    <n v="38"/>
    <n v="3078"/>
    <n v="292.41000000000003"/>
  </r>
  <r>
    <n v="1407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4"/>
    <x v="14"/>
    <n v="7"/>
    <n v="42"/>
    <n v="294"/>
    <n v="29.106000000000002"/>
  </r>
  <r>
    <n v="1409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15"/>
    <x v="10"/>
    <n v="34.799999999999997"/>
    <n v="100"/>
    <n v="3479.9999999999995"/>
    <n v="344.52"/>
  </r>
  <r>
    <n v="1412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16"/>
    <x v="7"/>
    <n v="10"/>
    <n v="89"/>
    <n v="890"/>
    <n v="87.22"/>
  </r>
  <r>
    <n v="1413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9"/>
    <x v="5"/>
    <n v="40"/>
    <n v="12"/>
    <n v="480"/>
    <n v="46.56"/>
  </r>
  <r>
    <n v="1417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8"/>
    <x v="1"/>
    <n v="10"/>
    <n v="97"/>
    <n v="970"/>
    <n v="100.88000000000001"/>
  </r>
  <r>
    <n v="1419"/>
    <x v="14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53"/>
    <n v="185.5"/>
    <n v="17.622499999999999"/>
  </r>
  <r>
    <n v="1420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1"/>
    <n v="2440"/>
    <n v="248.88"/>
  </r>
  <r>
    <n v="1421"/>
    <x v="14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5"/>
    <n v="827.99999999999989"/>
    <n v="81.143999999999991"/>
  </r>
  <r>
    <n v="142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5"/>
    <x v="0"/>
    <n v="46"/>
    <n v="43"/>
    <n v="1978"/>
    <n v="197.8"/>
  </r>
  <r>
    <n v="1423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8"/>
    <x v="4"/>
    <n v="9.65"/>
    <n v="18"/>
    <n v="173.70000000000002"/>
    <n v="16.5015"/>
  </r>
  <r>
    <n v="1424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7"/>
    <x v="3"/>
    <n v="12.75"/>
    <n v="41"/>
    <n v="522.75"/>
    <n v="50.706750000000007"/>
  </r>
  <r>
    <n v="1425"/>
    <x v="137"/>
    <n v="8"/>
    <x v="3"/>
    <s v="123 8th Street"/>
    <x v="2"/>
    <s v="OR"/>
    <n v="99999"/>
    <s v="USA"/>
    <x v="2"/>
    <x v="2"/>
    <n v="41983"/>
    <x v="0"/>
    <s v="Elizabeth Andersen"/>
    <s v="123 8th Street"/>
    <s v="Portland"/>
    <s v="OR"/>
    <n v="99999"/>
    <x v="0"/>
    <s v="Check"/>
    <x v="7"/>
    <x v="3"/>
    <n v="12.75"/>
    <n v="19"/>
    <n v="242.25"/>
    <n v="23.982750000000003"/>
  </r>
  <r>
    <n v="1426"/>
    <x v="147"/>
    <n v="25"/>
    <x v="13"/>
    <s v="789 25th Street"/>
    <x v="7"/>
    <s v="IL"/>
    <n v="99999"/>
    <s v="USA"/>
    <x v="6"/>
    <x v="1"/>
    <n v="42000"/>
    <x v="1"/>
    <s v="John Rodman"/>
    <s v="789 25th Street"/>
    <s v="Chicago"/>
    <s v="IL"/>
    <n v="99999"/>
    <x v="0"/>
    <s v="Cash"/>
    <x v="12"/>
    <x v="7"/>
    <n v="22"/>
    <n v="65"/>
    <n v="1430"/>
    <n v="138.71"/>
  </r>
  <r>
    <n v="1427"/>
    <x v="148"/>
    <n v="26"/>
    <x v="14"/>
    <s v="789 26th Street"/>
    <x v="9"/>
    <s v="FL"/>
    <n v="99999"/>
    <s v="USA"/>
    <x v="5"/>
    <x v="3"/>
    <n v="42001"/>
    <x v="2"/>
    <s v="Run Liu"/>
    <s v="789 26th Street"/>
    <s v="Miami"/>
    <s v="FL"/>
    <n v="99999"/>
    <x v="0"/>
    <s v="Credit Card"/>
    <x v="11"/>
    <x v="6"/>
    <n v="25"/>
    <n v="13"/>
    <n v="325"/>
    <n v="32.174999999999997"/>
  </r>
  <r>
    <n v="1428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19"/>
    <x v="12"/>
    <n v="39"/>
    <n v="54"/>
    <n v="2106"/>
    <n v="214.81200000000004"/>
  </r>
  <r>
    <n v="1429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2"/>
    <x v="1"/>
    <n v="30"/>
    <n v="33"/>
    <n v="990"/>
    <n v="95.039999999999992"/>
  </r>
  <r>
    <n v="1430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3"/>
    <x v="1"/>
    <n v="53"/>
    <n v="34"/>
    <n v="1802"/>
    <n v="185.60600000000002"/>
  </r>
  <r>
    <n v="1431"/>
    <x v="135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59"/>
    <n v="2242"/>
    <n v="226.44200000000001"/>
  </r>
  <r>
    <n v="1432"/>
    <x v="139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24"/>
    <n v="71.760000000000005"/>
    <n v="7.10424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EBBC-B6B8-4DB3-B5B1-6904071CA8E8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G31:H36" firstHeaderRow="1" firstDataRow="1" firstDataCol="1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4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18B9-B510-4E43-869A-AB7779ECEFF5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per Name">
  <location ref="A60" firstHeaderRow="0" firstDataRow="1" firstDataCol="0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colFields count="1">
    <field x="-2"/>
  </colFields>
  <dataFields count="4">
    <dataField name="Sum of Revenue" fld="24" baseField="0" baseItem="0" numFmtId="166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7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0CF3D-C814-48FC-9654-95FB4DD349B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person">
  <location ref="G3:H12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axis="axisRow" showAll="0" sortType="descending">
      <items count="9">
        <item x="1"/>
        <item x="5"/>
        <item x="3"/>
        <item x="6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9"/>
  </rowFields>
  <rowItems count="9">
    <i>
      <x v="6"/>
    </i>
    <i>
      <x v="1"/>
    </i>
    <i>
      <x/>
    </i>
    <i>
      <x v="4"/>
    </i>
    <i>
      <x v="3"/>
    </i>
    <i>
      <x v="5"/>
    </i>
    <i>
      <x v="7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8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D28D-E582-4A3D-9C75-CA617B041AC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23:B28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9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524B-39D9-4109-A79E-99117DE6409B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1:B3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axis="axisRow" showAll="0" measureFilter="1" sortType="descending">
      <items count="16">
        <item x="2"/>
        <item x="0"/>
        <item x="3"/>
        <item x="8"/>
        <item x="7"/>
        <item x="10"/>
        <item x="1"/>
        <item x="12"/>
        <item x="14"/>
        <item x="6"/>
        <item x="13"/>
        <item x="9"/>
        <item x="5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numFmtId="165" showAll="0"/>
  </pivotFields>
  <rowFields count="1">
    <field x="21"/>
  </rowFields>
  <rowItems count="6">
    <i>
      <x v="1"/>
    </i>
    <i>
      <x v="12"/>
    </i>
    <i>
      <x v="9"/>
    </i>
    <i>
      <x v="5"/>
    </i>
    <i>
      <x v="6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C9E56-CE62-4E92-BBBA-DF06F7E5F06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D3:E16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axis="axisRow" showAll="0" sortType="descending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5"/>
  </rowFields>
  <rowItems count="13">
    <i>
      <x v="8"/>
    </i>
    <i>
      <x v="9"/>
    </i>
    <i>
      <x v="6"/>
    </i>
    <i>
      <x v="5"/>
    </i>
    <i>
      <x v="1"/>
    </i>
    <i>
      <x v="7"/>
    </i>
    <i>
      <x v="11"/>
    </i>
    <i>
      <x v="10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1">
      <pivotArea outline="0" collapsedLevelsAreSubtotals="1" fieldPosition="0"/>
    </format>
  </formats>
  <chartFormats count="10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5FB2-B5A2-4E6E-82CD-CFF87A05BE04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D40:G41" firstHeaderRow="0" firstDataRow="1" firstDataCol="0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24" baseField="0" baseItem="0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AF9C5-7196-411A-8B4B-A99B09191A3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mpany Name">
  <location ref="A3:B9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4"/>
        <item x="13"/>
        <item x="2"/>
        <item x="10"/>
        <item x="8"/>
        <item x="12"/>
        <item x="3"/>
        <item x="9"/>
        <item x="6"/>
        <item x="1"/>
        <item x="4"/>
        <item x="5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9"/>
    </i>
    <i>
      <x v="6"/>
    </i>
    <i>
      <x v="12"/>
    </i>
    <i>
      <x v="8"/>
    </i>
    <i>
      <x v="14"/>
    </i>
    <i t="grand">
      <x/>
    </i>
  </rowItems>
  <colItems count="1">
    <i/>
  </colItems>
  <dataFields count="1">
    <dataField name="Sum of Revenue" fld="24" baseField="0" baseItem="0"/>
  </dataFields>
  <formats count="1">
    <format dxfId="14">
      <pivotArea collapsedLevelsAreSubtotals="1" fieldPosition="0">
        <references count="1">
          <reference field="3" count="5">
            <x v="6"/>
            <x v="8"/>
            <x v="9"/>
            <x v="12"/>
            <x v="14"/>
          </reference>
        </references>
      </pivotArea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D338D-8412-4ACC-9EF6-0AE115555F64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D31:E37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5"/>
    </i>
    <i>
      <x v="8"/>
    </i>
    <i>
      <x v="2"/>
    </i>
    <i>
      <x v="6"/>
    </i>
    <i>
      <x/>
    </i>
    <i t="grand">
      <x/>
    </i>
  </rowItems>
  <colItems count="1">
    <i/>
  </colItems>
  <dataFields count="1">
    <dataField name="Sum of Revenue" fld="24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AF1D0-4E8B-4CC7-B083-24314665EEA4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G23:H29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numFmtId="165" showAll="0"/>
  </pivotFields>
  <rowFields count="1">
    <field x="20"/>
  </rowFields>
  <rowItems count="6">
    <i>
      <x v="8"/>
    </i>
    <i>
      <x v="10"/>
    </i>
    <i>
      <x v="18"/>
    </i>
    <i>
      <x v="19"/>
    </i>
    <i>
      <x v="9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6">
      <pivotArea outline="0" collapsedLevelsAreSubtotals="1" fieldPosition="0"/>
    </format>
  </format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2350-6DD8-4E65-ABD4-3F41416B8B8E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Date">
  <location ref="J3:K153" firstHeaderRow="1" firstDataRow="1" firstDataCol="1"/>
  <pivotFields count="26">
    <pivotField showAll="0"/>
    <pivotField axis="axisRow"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Items count="1">
    <i/>
  </colItems>
  <dataFields count="1">
    <dataField name="Sum of Revenue" fld="24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77D96-B0D9-4533-85CE-1631119750E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hipper Name">
  <location ref="D23:E2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8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E7408-011B-493B-B2E1-0CB0421F68D0}" name="Table23" displayName="Table23" ref="A3:Z372" totalsRowShown="0" headerRowDxfId="4">
  <autoFilter ref="A3:Z372" xr:uid="{F0C9B766-E8F6-46A6-9343-262AF93270D5}"/>
  <tableColumns count="26">
    <tableColumn id="1" xr3:uid="{5B242B20-8AE9-4AA3-92D8-28C2F8B56121}" name="Order ID"/>
    <tableColumn id="2" xr3:uid="{1FA6020A-5D36-4E0C-AF9A-5B7BC100625B}" name="Order Date" dataDxfId="3"/>
    <tableColumn id="3" xr3:uid="{66E47C38-414C-4089-BFF2-427D2858AF81}" name="Customer ID"/>
    <tableColumn id="4" xr3:uid="{9A387278-BC4C-48DB-9349-D264B28B50A6}" name="Customer Name"/>
    <tableColumn id="5" xr3:uid="{E2C5536B-E867-4814-A047-310D30E04308}" name="Address"/>
    <tableColumn id="6" xr3:uid="{AA8C1BAA-8DDB-4A52-8876-50828E2CF45E}" name="City"/>
    <tableColumn id="7" xr3:uid="{AD5C35B8-B623-4AF6-9A02-7FCACC3E5697}" name="State"/>
    <tableColumn id="8" xr3:uid="{AC3BE1B6-FB3D-44C7-B8B3-47EA4568218E}" name="ZIP/Postal Code"/>
    <tableColumn id="9" xr3:uid="{BD809465-B7B8-4194-889F-F2A2EA510C3C}" name="Country/Region"/>
    <tableColumn id="10" xr3:uid="{C0C3DC67-EFED-4E1E-A132-60C412C9B835}" name="Salesperson"/>
    <tableColumn id="11" xr3:uid="{7783F723-65A9-4CA9-858E-F7FFB138C2B2}" name="Region"/>
    <tableColumn id="12" xr3:uid="{74988314-A4B6-4A6C-907D-29840EC3E13D}" name="Shipped Date" dataDxfId="2"/>
    <tableColumn id="13" xr3:uid="{2C90EB98-569D-4DD9-BD27-19BEFE4344E5}" name="Shipper Name"/>
    <tableColumn id="14" xr3:uid="{D05F23F6-A04C-43D3-B151-60E23943AD35}" name="Ship Name"/>
    <tableColumn id="15" xr3:uid="{29164556-C1F6-4FDD-9E91-600CA1B01DE5}" name="Ship Address"/>
    <tableColumn id="16" xr3:uid="{D401B800-66BB-4E25-AC9D-8B1484683E4C}" name="Ship City"/>
    <tableColumn id="17" xr3:uid="{222B824B-1E8B-42CD-ACC2-89984F71B282}" name="Ship State"/>
    <tableColumn id="18" xr3:uid="{CAF7D6A3-90E4-4944-9C21-F3FC902E604D}" name="Ship ZIP/Postal Code"/>
    <tableColumn id="19" xr3:uid="{1FD9585D-4B49-47F1-A041-206F41644DA5}" name="Ship Country/Region"/>
    <tableColumn id="20" xr3:uid="{4D5FB73D-6A71-4828-80C8-3E7858B7DE54}" name="Payment Type"/>
    <tableColumn id="21" xr3:uid="{68B8E0C5-A970-4123-BF90-F0527911CD94}" name="Product Name"/>
    <tableColumn id="22" xr3:uid="{0E4F9766-8F4A-4A3E-B727-0E12D1DA99B5}" name="Category"/>
    <tableColumn id="23" xr3:uid="{86039946-77BB-4CFA-867C-95F909855CAB}" name="Unit Price"/>
    <tableColumn id="24" xr3:uid="{7993C171-35D0-4B3F-A2B4-64DD92578826}" name="Quantity"/>
    <tableColumn id="25" xr3:uid="{B8BF7010-D1E4-4978-A38D-BCA77A93650B}" name="Revenue" dataDxfId="1" dataCellStyle="Currency"/>
    <tableColumn id="26" xr3:uid="{6D68FC04-C49E-4E26-9109-5F16144EB909}" name="Shipping Fe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92AD-DD8B-4F77-B62E-5959E2EF6DE5}">
  <dimension ref="A3:K153"/>
  <sheetViews>
    <sheetView topLeftCell="D1" zoomScaleNormal="100" workbookViewId="0">
      <selection activeCell="G44" sqref="G44"/>
    </sheetView>
  </sheetViews>
  <sheetFormatPr defaultRowHeight="14" x14ac:dyDescent="0.3"/>
  <cols>
    <col min="1" max="1" width="15.08203125" bestFit="1" customWidth="1"/>
    <col min="2" max="2" width="14.33203125" bestFit="1" customWidth="1"/>
    <col min="3" max="3" width="14.25" bestFit="1" customWidth="1"/>
    <col min="4" max="4" width="14.33203125" bestFit="1" customWidth="1"/>
    <col min="5" max="5" width="15.25" bestFit="1" customWidth="1"/>
    <col min="6" max="6" width="14.25" bestFit="1" customWidth="1"/>
    <col min="7" max="7" width="18" bestFit="1" customWidth="1"/>
    <col min="8" max="8" width="14.33203125" bestFit="1" customWidth="1"/>
    <col min="9" max="9" width="15.6640625" bestFit="1" customWidth="1"/>
    <col min="10" max="10" width="13.33203125" bestFit="1" customWidth="1"/>
    <col min="11" max="11" width="14.33203125" bestFit="1" customWidth="1"/>
    <col min="12" max="155" width="15.6640625" bestFit="1" customWidth="1"/>
    <col min="156" max="156" width="10.33203125" bestFit="1" customWidth="1"/>
  </cols>
  <sheetData>
    <row r="3" spans="1:11" x14ac:dyDescent="0.3">
      <c r="A3" s="6" t="s">
        <v>156</v>
      </c>
      <c r="B3" t="s">
        <v>155</v>
      </c>
      <c r="D3" s="6" t="s">
        <v>7</v>
      </c>
      <c r="E3" t="s">
        <v>155</v>
      </c>
      <c r="G3" s="6" t="s">
        <v>11</v>
      </c>
      <c r="H3" t="s">
        <v>155</v>
      </c>
      <c r="J3" s="6" t="s">
        <v>3</v>
      </c>
      <c r="K3" t="s">
        <v>155</v>
      </c>
    </row>
    <row r="4" spans="1:11" x14ac:dyDescent="0.3">
      <c r="A4" s="7" t="s">
        <v>42</v>
      </c>
      <c r="B4" s="8">
        <v>67180.5</v>
      </c>
      <c r="D4" s="7" t="s">
        <v>44</v>
      </c>
      <c r="E4" s="8">
        <v>67180.5</v>
      </c>
      <c r="G4" s="7" t="s">
        <v>62</v>
      </c>
      <c r="H4" s="8">
        <v>104242.33999999997</v>
      </c>
      <c r="J4" s="11">
        <v>41640</v>
      </c>
      <c r="K4" s="8">
        <v>3624.33</v>
      </c>
    </row>
    <row r="5" spans="1:11" x14ac:dyDescent="0.3">
      <c r="A5" s="7" t="s">
        <v>58</v>
      </c>
      <c r="B5" s="8">
        <v>50198.35</v>
      </c>
      <c r="D5" s="7" t="s">
        <v>60</v>
      </c>
      <c r="E5" s="8">
        <v>50198.35</v>
      </c>
      <c r="G5" s="7" t="s">
        <v>96</v>
      </c>
      <c r="H5" s="8">
        <v>93848.329999999987</v>
      </c>
      <c r="J5" s="11">
        <v>41642</v>
      </c>
      <c r="K5" s="8">
        <v>878.15</v>
      </c>
    </row>
    <row r="6" spans="1:11" x14ac:dyDescent="0.3">
      <c r="A6" s="7" t="s">
        <v>92</v>
      </c>
      <c r="B6" s="8">
        <v>43703</v>
      </c>
      <c r="D6" s="7" t="s">
        <v>117</v>
      </c>
      <c r="E6" s="8">
        <v>50145.330000000009</v>
      </c>
      <c r="G6" s="7" t="s">
        <v>46</v>
      </c>
      <c r="H6" s="8">
        <v>67180.5</v>
      </c>
      <c r="J6" s="11">
        <v>41643</v>
      </c>
      <c r="K6" s="8">
        <v>7635.1</v>
      </c>
    </row>
    <row r="7" spans="1:11" x14ac:dyDescent="0.3">
      <c r="A7" s="7" t="s">
        <v>84</v>
      </c>
      <c r="B7" s="8">
        <v>37418</v>
      </c>
      <c r="D7" s="7" t="s">
        <v>94</v>
      </c>
      <c r="E7" s="8">
        <v>43703</v>
      </c>
      <c r="G7" s="7" t="s">
        <v>33</v>
      </c>
      <c r="H7" s="8">
        <v>42370.880000000005</v>
      </c>
      <c r="J7" s="11">
        <v>41645</v>
      </c>
      <c r="K7" s="8">
        <v>2274</v>
      </c>
    </row>
    <row r="8" spans="1:11" x14ac:dyDescent="0.3">
      <c r="A8" s="7" t="s">
        <v>120</v>
      </c>
      <c r="B8" s="8">
        <v>36839.990000000005</v>
      </c>
      <c r="D8" s="7" t="s">
        <v>101</v>
      </c>
      <c r="E8" s="8">
        <v>41095.01</v>
      </c>
      <c r="G8" s="7" t="s">
        <v>103</v>
      </c>
      <c r="H8" s="8">
        <v>41095.01</v>
      </c>
      <c r="J8" s="11">
        <v>41646</v>
      </c>
      <c r="K8" s="8">
        <v>1104</v>
      </c>
    </row>
    <row r="9" spans="1:11" x14ac:dyDescent="0.3">
      <c r="A9" s="7" t="s">
        <v>154</v>
      </c>
      <c r="B9" s="8">
        <v>235339.84000000003</v>
      </c>
      <c r="D9" s="7" t="s">
        <v>86</v>
      </c>
      <c r="E9" s="8">
        <v>37418</v>
      </c>
      <c r="G9" s="7" t="s">
        <v>88</v>
      </c>
      <c r="H9" s="8">
        <v>37418</v>
      </c>
      <c r="J9" s="11">
        <v>41647</v>
      </c>
      <c r="K9" s="8">
        <v>948.84999999999991</v>
      </c>
    </row>
    <row r="10" spans="1:11" x14ac:dyDescent="0.3">
      <c r="D10" s="7" t="s">
        <v>122</v>
      </c>
      <c r="E10" s="8">
        <v>36839.990000000005</v>
      </c>
      <c r="G10" s="7" t="s">
        <v>131</v>
      </c>
      <c r="H10" s="8">
        <v>32530.6</v>
      </c>
      <c r="J10" s="11">
        <v>41648</v>
      </c>
      <c r="K10" s="8">
        <v>3930.2999999999997</v>
      </c>
    </row>
    <row r="11" spans="1:11" x14ac:dyDescent="0.3">
      <c r="D11" s="7" t="s">
        <v>129</v>
      </c>
      <c r="E11" s="8">
        <v>32530.6</v>
      </c>
      <c r="G11" s="7" t="s">
        <v>72</v>
      </c>
      <c r="H11" s="8">
        <v>16350.5</v>
      </c>
      <c r="J11" s="11">
        <v>41649</v>
      </c>
      <c r="K11" s="8">
        <v>1897.8999999999999</v>
      </c>
    </row>
    <row r="12" spans="1:11" x14ac:dyDescent="0.3">
      <c r="D12" s="7" t="s">
        <v>78</v>
      </c>
      <c r="E12" s="8">
        <v>27005.38</v>
      </c>
      <c r="G12" s="7" t="s">
        <v>154</v>
      </c>
      <c r="H12" s="8">
        <v>435036.15999999992</v>
      </c>
      <c r="J12" s="11">
        <v>41650</v>
      </c>
      <c r="K12" s="8">
        <v>430.01</v>
      </c>
    </row>
    <row r="13" spans="1:11" x14ac:dyDescent="0.3">
      <c r="D13" s="7" t="s">
        <v>108</v>
      </c>
      <c r="E13" s="8">
        <v>17204</v>
      </c>
      <c r="J13" s="11">
        <v>41651</v>
      </c>
      <c r="K13" s="8">
        <v>3482</v>
      </c>
    </row>
    <row r="14" spans="1:11" x14ac:dyDescent="0.3">
      <c r="D14" s="7" t="s">
        <v>70</v>
      </c>
      <c r="E14" s="8">
        <v>16350.5</v>
      </c>
      <c r="J14" s="11">
        <v>41666</v>
      </c>
      <c r="K14" s="8">
        <v>850.5</v>
      </c>
    </row>
    <row r="15" spans="1:11" x14ac:dyDescent="0.3">
      <c r="D15" s="7" t="s">
        <v>30</v>
      </c>
      <c r="E15" s="8">
        <v>15365.5</v>
      </c>
      <c r="J15" s="11">
        <v>41667</v>
      </c>
      <c r="K15" s="8">
        <v>4654.2</v>
      </c>
    </row>
    <row r="16" spans="1:11" x14ac:dyDescent="0.3">
      <c r="D16" s="7" t="s">
        <v>154</v>
      </c>
      <c r="E16" s="8">
        <v>435036.15999999997</v>
      </c>
      <c r="J16" s="11">
        <v>41668</v>
      </c>
      <c r="K16" s="8">
        <v>1198.5</v>
      </c>
    </row>
    <row r="17" spans="1:11" x14ac:dyDescent="0.3">
      <c r="J17" s="11">
        <v>41671</v>
      </c>
      <c r="K17" s="8">
        <v>239.2</v>
      </c>
    </row>
    <row r="18" spans="1:11" x14ac:dyDescent="0.3">
      <c r="J18" s="11">
        <v>41673</v>
      </c>
      <c r="K18" s="8">
        <v>2054.25</v>
      </c>
    </row>
    <row r="19" spans="1:11" x14ac:dyDescent="0.3">
      <c r="J19" s="11">
        <v>41674</v>
      </c>
      <c r="K19" s="8">
        <v>3648</v>
      </c>
    </row>
    <row r="20" spans="1:11" x14ac:dyDescent="0.3">
      <c r="J20" s="11">
        <v>41676</v>
      </c>
      <c r="K20" s="8">
        <v>4633.25</v>
      </c>
    </row>
    <row r="21" spans="1:11" x14ac:dyDescent="0.3">
      <c r="J21" s="11">
        <v>41678</v>
      </c>
      <c r="K21" s="8">
        <v>1445.75</v>
      </c>
    </row>
    <row r="22" spans="1:11" x14ac:dyDescent="0.3">
      <c r="J22" s="11">
        <v>41679</v>
      </c>
      <c r="K22" s="8">
        <v>260.55</v>
      </c>
    </row>
    <row r="23" spans="1:11" x14ac:dyDescent="0.3">
      <c r="A23" s="6" t="s">
        <v>12</v>
      </c>
      <c r="B23" t="s">
        <v>155</v>
      </c>
      <c r="D23" s="6" t="s">
        <v>14</v>
      </c>
      <c r="E23" t="s">
        <v>155</v>
      </c>
      <c r="G23" s="6" t="s">
        <v>22</v>
      </c>
      <c r="H23" t="s">
        <v>155</v>
      </c>
      <c r="J23" s="11">
        <v>41680</v>
      </c>
      <c r="K23" s="8">
        <v>641.5</v>
      </c>
    </row>
    <row r="24" spans="1:11" x14ac:dyDescent="0.3">
      <c r="A24" s="7" t="s">
        <v>63</v>
      </c>
      <c r="B24" s="8">
        <v>141660.33999999997</v>
      </c>
      <c r="D24" s="7" t="s">
        <v>48</v>
      </c>
      <c r="E24" s="8">
        <v>124206.20000000003</v>
      </c>
      <c r="G24" s="7" t="s">
        <v>57</v>
      </c>
      <c r="H24" s="8">
        <v>75486</v>
      </c>
      <c r="J24" s="11">
        <v>41681</v>
      </c>
      <c r="K24" s="8">
        <v>2880</v>
      </c>
    </row>
    <row r="25" spans="1:11" x14ac:dyDescent="0.3">
      <c r="A25" s="7" t="s">
        <v>47</v>
      </c>
      <c r="B25" s="8">
        <v>108275.51</v>
      </c>
      <c r="D25" s="7" t="s">
        <v>35</v>
      </c>
      <c r="E25" s="8">
        <v>117424.70999999999</v>
      </c>
      <c r="G25" s="7" t="s">
        <v>90</v>
      </c>
      <c r="H25" s="8">
        <v>69000</v>
      </c>
      <c r="J25" s="11">
        <v>41695</v>
      </c>
      <c r="K25" s="8">
        <v>2156</v>
      </c>
    </row>
    <row r="26" spans="1:11" x14ac:dyDescent="0.3">
      <c r="A26" s="7" t="s">
        <v>97</v>
      </c>
      <c r="B26" s="8">
        <v>93848.329999999987</v>
      </c>
      <c r="D26" s="7" t="s">
        <v>64</v>
      </c>
      <c r="E26" s="8">
        <v>136030.12999999998</v>
      </c>
      <c r="G26" s="7" t="s">
        <v>151</v>
      </c>
      <c r="H26" s="8">
        <v>41391</v>
      </c>
      <c r="J26" s="11">
        <v>41696</v>
      </c>
      <c r="K26" s="8">
        <v>525</v>
      </c>
    </row>
    <row r="27" spans="1:11" x14ac:dyDescent="0.3">
      <c r="A27" s="7" t="s">
        <v>34</v>
      </c>
      <c r="B27" s="8">
        <v>91251.979999999981</v>
      </c>
      <c r="D27" s="7" t="s">
        <v>154</v>
      </c>
      <c r="E27" s="8">
        <v>377661.04000000004</v>
      </c>
      <c r="G27" s="7" t="s">
        <v>135</v>
      </c>
      <c r="H27" s="8">
        <v>33129.600000000006</v>
      </c>
      <c r="J27" s="11">
        <v>41698</v>
      </c>
      <c r="K27" s="8">
        <v>1472</v>
      </c>
    </row>
    <row r="28" spans="1:11" x14ac:dyDescent="0.3">
      <c r="A28" s="7" t="s">
        <v>154</v>
      </c>
      <c r="B28" s="8">
        <v>435036.15999999992</v>
      </c>
      <c r="G28" s="7" t="s">
        <v>125</v>
      </c>
      <c r="H28" s="8">
        <v>25465.599999999999</v>
      </c>
      <c r="J28" s="11">
        <v>41699</v>
      </c>
      <c r="K28" s="8">
        <v>2394</v>
      </c>
    </row>
    <row r="29" spans="1:11" x14ac:dyDescent="0.3">
      <c r="G29" s="7" t="s">
        <v>154</v>
      </c>
      <c r="H29" s="8">
        <v>244472.2</v>
      </c>
      <c r="J29" s="11">
        <v>41701</v>
      </c>
      <c r="K29" s="8">
        <v>3320</v>
      </c>
    </row>
    <row r="30" spans="1:11" x14ac:dyDescent="0.3">
      <c r="J30" s="11">
        <v>41702</v>
      </c>
      <c r="K30" s="8">
        <v>6496</v>
      </c>
    </row>
    <row r="31" spans="1:11" x14ac:dyDescent="0.3">
      <c r="A31" s="6" t="s">
        <v>23</v>
      </c>
      <c r="B31" t="s">
        <v>155</v>
      </c>
      <c r="D31" s="6" t="s">
        <v>5</v>
      </c>
      <c r="E31" t="s">
        <v>155</v>
      </c>
      <c r="G31" s="6" t="s">
        <v>160</v>
      </c>
      <c r="H31" t="s">
        <v>155</v>
      </c>
      <c r="J31" s="11">
        <v>41704</v>
      </c>
      <c r="K31" s="8">
        <v>946</v>
      </c>
    </row>
    <row r="32" spans="1:11" x14ac:dyDescent="0.3">
      <c r="A32" s="7" t="s">
        <v>39</v>
      </c>
      <c r="B32" s="8">
        <v>110577.10999999999</v>
      </c>
      <c r="D32" s="7" t="s">
        <v>42</v>
      </c>
      <c r="E32" s="8">
        <v>67180.5</v>
      </c>
      <c r="G32" s="7" t="s">
        <v>47</v>
      </c>
      <c r="H32" s="8">
        <v>108275.51</v>
      </c>
      <c r="J32" s="11">
        <v>41706</v>
      </c>
      <c r="K32" s="8">
        <v>6484.7999999999993</v>
      </c>
    </row>
    <row r="33" spans="1:11" x14ac:dyDescent="0.3">
      <c r="A33" s="7" t="s">
        <v>91</v>
      </c>
      <c r="B33" s="8">
        <v>69000</v>
      </c>
      <c r="D33" s="7" t="s">
        <v>58</v>
      </c>
      <c r="E33" s="8">
        <v>50198.35</v>
      </c>
      <c r="G33" s="7" t="s">
        <v>63</v>
      </c>
      <c r="H33" s="8">
        <v>141660.33999999997</v>
      </c>
      <c r="J33" s="11">
        <v>41707</v>
      </c>
      <c r="K33" s="8">
        <v>1455.3</v>
      </c>
    </row>
    <row r="34" spans="1:11" x14ac:dyDescent="0.3">
      <c r="A34" s="7" t="s">
        <v>112</v>
      </c>
      <c r="B34" s="8">
        <v>51541</v>
      </c>
      <c r="D34" s="7" t="s">
        <v>92</v>
      </c>
      <c r="E34" s="8">
        <v>43703</v>
      </c>
      <c r="G34" s="7" t="s">
        <v>97</v>
      </c>
      <c r="H34" s="8">
        <v>93848.329999999987</v>
      </c>
      <c r="J34" s="11">
        <v>41708</v>
      </c>
      <c r="K34" s="8">
        <v>623.5</v>
      </c>
    </row>
    <row r="35" spans="1:11" x14ac:dyDescent="0.3">
      <c r="A35" s="7" t="s">
        <v>136</v>
      </c>
      <c r="B35" s="8">
        <v>33129.600000000006</v>
      </c>
      <c r="D35" s="7" t="s">
        <v>84</v>
      </c>
      <c r="E35" s="8">
        <v>37418</v>
      </c>
      <c r="G35" s="7" t="s">
        <v>34</v>
      </c>
      <c r="H35" s="8">
        <v>91251.979999999981</v>
      </c>
      <c r="J35" s="11">
        <v>41709</v>
      </c>
      <c r="K35" s="8">
        <v>2680</v>
      </c>
    </row>
    <row r="36" spans="1:11" x14ac:dyDescent="0.3">
      <c r="A36" s="7" t="s">
        <v>41</v>
      </c>
      <c r="B36" s="8">
        <v>27999.5</v>
      </c>
      <c r="D36" s="7" t="s">
        <v>120</v>
      </c>
      <c r="E36" s="8">
        <v>36839.990000000005</v>
      </c>
      <c r="G36" s="7" t="s">
        <v>154</v>
      </c>
      <c r="H36" s="8">
        <v>435036.15999999992</v>
      </c>
      <c r="J36" s="11">
        <v>41723</v>
      </c>
      <c r="K36" s="8">
        <v>460</v>
      </c>
    </row>
    <row r="37" spans="1:11" x14ac:dyDescent="0.3">
      <c r="A37" s="7" t="s">
        <v>154</v>
      </c>
      <c r="B37" s="8">
        <v>292247.20999999996</v>
      </c>
      <c r="D37" s="7" t="s">
        <v>154</v>
      </c>
      <c r="E37" s="8">
        <v>235339.84</v>
      </c>
      <c r="J37" s="11">
        <v>41724</v>
      </c>
      <c r="K37" s="8">
        <v>4203</v>
      </c>
    </row>
    <row r="38" spans="1:11" x14ac:dyDescent="0.3">
      <c r="J38" s="11">
        <v>41726</v>
      </c>
      <c r="K38" s="8">
        <v>782</v>
      </c>
    </row>
    <row r="39" spans="1:11" x14ac:dyDescent="0.3">
      <c r="J39" s="11">
        <v>41727</v>
      </c>
      <c r="K39" s="8">
        <v>1008</v>
      </c>
    </row>
    <row r="40" spans="1:11" x14ac:dyDescent="0.3">
      <c r="D40" t="s">
        <v>155</v>
      </c>
      <c r="E40" t="s">
        <v>158</v>
      </c>
      <c r="F40" t="s">
        <v>159</v>
      </c>
      <c r="G40" t="s">
        <v>157</v>
      </c>
      <c r="J40" s="11">
        <v>41730</v>
      </c>
      <c r="K40" s="8">
        <v>990</v>
      </c>
    </row>
    <row r="41" spans="1:11" x14ac:dyDescent="0.3">
      <c r="D41" s="8">
        <v>435036.16000000021</v>
      </c>
      <c r="E41" s="8">
        <v>7841.7799999999888</v>
      </c>
      <c r="F41" s="9">
        <v>20592</v>
      </c>
      <c r="G41" s="8">
        <v>43663.097160000012</v>
      </c>
      <c r="J41" s="11">
        <v>41732</v>
      </c>
      <c r="K41" s="8">
        <v>916.75</v>
      </c>
    </row>
    <row r="42" spans="1:11" x14ac:dyDescent="0.3">
      <c r="J42" s="11">
        <v>41733</v>
      </c>
      <c r="K42" s="8">
        <v>738.4</v>
      </c>
    </row>
    <row r="43" spans="1:11" x14ac:dyDescent="0.3">
      <c r="D43" s="8">
        <f>D41</f>
        <v>435036.16000000021</v>
      </c>
      <c r="E43" s="8">
        <f>E41</f>
        <v>7841.7799999999888</v>
      </c>
      <c r="F43" s="9">
        <f>F41</f>
        <v>20592</v>
      </c>
      <c r="G43" s="8">
        <f>G41</f>
        <v>43663.097160000012</v>
      </c>
      <c r="J43" s="11">
        <v>41735</v>
      </c>
      <c r="K43" s="8">
        <v>680</v>
      </c>
    </row>
    <row r="44" spans="1:11" x14ac:dyDescent="0.3">
      <c r="J44" s="11">
        <v>41736</v>
      </c>
      <c r="K44" s="8">
        <v>2714</v>
      </c>
    </row>
    <row r="45" spans="1:11" x14ac:dyDescent="0.3">
      <c r="J45" s="11">
        <v>41737</v>
      </c>
      <c r="K45" s="8">
        <v>1168.6500000000001</v>
      </c>
    </row>
    <row r="46" spans="1:11" x14ac:dyDescent="0.3">
      <c r="J46" s="11">
        <v>41739</v>
      </c>
      <c r="K46" s="8">
        <v>2442.12</v>
      </c>
    </row>
    <row r="47" spans="1:11" x14ac:dyDescent="0.3">
      <c r="J47" s="11">
        <v>41740</v>
      </c>
      <c r="K47" s="8">
        <v>511.62</v>
      </c>
    </row>
    <row r="48" spans="1:11" x14ac:dyDescent="0.3">
      <c r="J48" s="11">
        <v>41741</v>
      </c>
      <c r="K48" s="8">
        <v>5748</v>
      </c>
    </row>
    <row r="49" spans="1:11" x14ac:dyDescent="0.3">
      <c r="J49" s="11">
        <v>41757</v>
      </c>
      <c r="K49" s="8">
        <v>4416</v>
      </c>
    </row>
    <row r="50" spans="1:11" x14ac:dyDescent="0.3">
      <c r="J50" s="11">
        <v>41758</v>
      </c>
      <c r="K50" s="8">
        <v>446.25</v>
      </c>
    </row>
    <row r="51" spans="1:11" x14ac:dyDescent="0.3">
      <c r="J51" s="11">
        <v>41760</v>
      </c>
      <c r="K51" s="8">
        <v>4282.2700000000004</v>
      </c>
    </row>
    <row r="52" spans="1:11" x14ac:dyDescent="0.3">
      <c r="J52" s="11">
        <v>41762</v>
      </c>
      <c r="K52" s="8">
        <v>5154.95</v>
      </c>
    </row>
    <row r="53" spans="1:11" x14ac:dyDescent="0.3">
      <c r="J53" s="11">
        <v>41763</v>
      </c>
      <c r="K53" s="8">
        <v>2367</v>
      </c>
    </row>
    <row r="54" spans="1:11" x14ac:dyDescent="0.3">
      <c r="J54" s="11">
        <v>41765</v>
      </c>
      <c r="K54" s="8">
        <v>3938.25</v>
      </c>
    </row>
    <row r="55" spans="1:11" x14ac:dyDescent="0.3">
      <c r="J55" s="11">
        <v>41766</v>
      </c>
      <c r="K55" s="8">
        <v>1426</v>
      </c>
    </row>
    <row r="56" spans="1:11" x14ac:dyDescent="0.3">
      <c r="J56" s="11">
        <v>41767</v>
      </c>
      <c r="K56" s="8">
        <v>4677.5499999999993</v>
      </c>
    </row>
    <row r="57" spans="1:11" x14ac:dyDescent="0.3">
      <c r="J57" s="11">
        <v>41768</v>
      </c>
      <c r="K57" s="8">
        <v>2886.6</v>
      </c>
    </row>
    <row r="58" spans="1:11" x14ac:dyDescent="0.3">
      <c r="J58" s="11">
        <v>41769</v>
      </c>
      <c r="K58" s="8">
        <v>2441.85</v>
      </c>
    </row>
    <row r="59" spans="1:11" x14ac:dyDescent="0.3">
      <c r="J59" s="11">
        <v>41770</v>
      </c>
      <c r="K59" s="8">
        <v>384.23</v>
      </c>
    </row>
    <row r="60" spans="1:11" x14ac:dyDescent="0.3">
      <c r="J60" s="11">
        <v>41784</v>
      </c>
      <c r="K60" s="8">
        <v>660</v>
      </c>
    </row>
    <row r="61" spans="1:11" x14ac:dyDescent="0.3">
      <c r="J61" s="11">
        <v>41785</v>
      </c>
      <c r="K61" s="8">
        <v>2785.75</v>
      </c>
    </row>
    <row r="62" spans="1:11" x14ac:dyDescent="0.3">
      <c r="A62" s="8"/>
      <c r="B62" s="8"/>
      <c r="C62" s="9"/>
      <c r="J62" s="11">
        <v>41787</v>
      </c>
      <c r="K62" s="8">
        <v>2830.1</v>
      </c>
    </row>
    <row r="63" spans="1:11" x14ac:dyDescent="0.3">
      <c r="A63" s="8"/>
      <c r="B63" s="8"/>
      <c r="C63" s="9"/>
      <c r="J63" s="11">
        <v>41788</v>
      </c>
      <c r="K63" s="8">
        <v>472.5</v>
      </c>
    </row>
    <row r="64" spans="1:11" x14ac:dyDescent="0.3">
      <c r="J64" s="11">
        <v>41791</v>
      </c>
      <c r="K64" s="8">
        <v>3064.89</v>
      </c>
    </row>
    <row r="65" spans="10:11" x14ac:dyDescent="0.3">
      <c r="J65" s="11">
        <v>41793</v>
      </c>
      <c r="K65" s="8">
        <v>1623.12</v>
      </c>
    </row>
    <row r="66" spans="10:11" x14ac:dyDescent="0.3">
      <c r="J66" s="11">
        <v>41794</v>
      </c>
      <c r="K66" s="8">
        <v>11595</v>
      </c>
    </row>
    <row r="67" spans="10:11" x14ac:dyDescent="0.3">
      <c r="J67" s="11">
        <v>41796</v>
      </c>
      <c r="K67" s="8">
        <v>4817</v>
      </c>
    </row>
    <row r="68" spans="10:11" x14ac:dyDescent="0.3">
      <c r="J68" s="11">
        <v>41797</v>
      </c>
      <c r="K68" s="8">
        <v>3266</v>
      </c>
    </row>
    <row r="69" spans="10:11" x14ac:dyDescent="0.3">
      <c r="J69" s="11">
        <v>41798</v>
      </c>
      <c r="K69" s="8">
        <v>4473</v>
      </c>
    </row>
    <row r="70" spans="10:11" x14ac:dyDescent="0.3">
      <c r="J70" s="11">
        <v>41799</v>
      </c>
      <c r="K70" s="8">
        <v>4322.2999999999993</v>
      </c>
    </row>
    <row r="71" spans="10:11" x14ac:dyDescent="0.3">
      <c r="J71" s="11">
        <v>41800</v>
      </c>
      <c r="K71" s="8">
        <v>4164.6000000000004</v>
      </c>
    </row>
    <row r="72" spans="10:11" x14ac:dyDescent="0.3">
      <c r="J72" s="11">
        <v>41801</v>
      </c>
      <c r="K72" s="8">
        <v>1357.4</v>
      </c>
    </row>
    <row r="73" spans="10:11" x14ac:dyDescent="0.3">
      <c r="J73" s="11">
        <v>41815</v>
      </c>
      <c r="K73" s="8">
        <v>2536</v>
      </c>
    </row>
    <row r="74" spans="10:11" x14ac:dyDescent="0.3">
      <c r="J74" s="11">
        <v>41816</v>
      </c>
      <c r="K74" s="8">
        <v>3668.1</v>
      </c>
    </row>
    <row r="75" spans="10:11" x14ac:dyDescent="0.3">
      <c r="J75" s="11">
        <v>41818</v>
      </c>
      <c r="K75" s="8">
        <v>5786.2</v>
      </c>
    </row>
    <row r="76" spans="10:11" x14ac:dyDescent="0.3">
      <c r="J76" s="11">
        <v>41819</v>
      </c>
      <c r="K76" s="8">
        <v>4928</v>
      </c>
    </row>
    <row r="77" spans="10:11" x14ac:dyDescent="0.3">
      <c r="J77" s="11">
        <v>41821</v>
      </c>
      <c r="K77" s="8">
        <v>1014.99</v>
      </c>
    </row>
    <row r="78" spans="10:11" x14ac:dyDescent="0.3">
      <c r="J78" s="11">
        <v>41823</v>
      </c>
      <c r="K78" s="8">
        <v>1390</v>
      </c>
    </row>
    <row r="79" spans="10:11" x14ac:dyDescent="0.3">
      <c r="J79" s="11">
        <v>41824</v>
      </c>
      <c r="K79" s="8">
        <v>4588</v>
      </c>
    </row>
    <row r="80" spans="10:11" x14ac:dyDescent="0.3">
      <c r="J80" s="11">
        <v>41826</v>
      </c>
      <c r="K80" s="8">
        <v>2502</v>
      </c>
    </row>
    <row r="81" spans="10:11" x14ac:dyDescent="0.3">
      <c r="J81" s="11">
        <v>41828</v>
      </c>
      <c r="K81" s="8">
        <v>4910.7999999999993</v>
      </c>
    </row>
    <row r="82" spans="10:11" x14ac:dyDescent="0.3">
      <c r="J82" s="11">
        <v>41829</v>
      </c>
      <c r="K82" s="8">
        <v>2997.6</v>
      </c>
    </row>
    <row r="83" spans="10:11" x14ac:dyDescent="0.3">
      <c r="J83" s="11">
        <v>41830</v>
      </c>
      <c r="K83" s="8">
        <v>894.5</v>
      </c>
    </row>
    <row r="84" spans="10:11" x14ac:dyDescent="0.3">
      <c r="J84" s="11">
        <v>41831</v>
      </c>
      <c r="K84" s="8">
        <v>3880</v>
      </c>
    </row>
    <row r="85" spans="10:11" x14ac:dyDescent="0.3">
      <c r="J85" s="11">
        <v>41845</v>
      </c>
      <c r="K85" s="8">
        <v>340</v>
      </c>
    </row>
    <row r="86" spans="10:11" x14ac:dyDescent="0.3">
      <c r="J86" s="11">
        <v>41846</v>
      </c>
      <c r="K86" s="8">
        <v>2191.4</v>
      </c>
    </row>
    <row r="87" spans="10:11" x14ac:dyDescent="0.3">
      <c r="J87" s="11">
        <v>41848</v>
      </c>
      <c r="K87" s="8">
        <v>2287.25</v>
      </c>
    </row>
    <row r="88" spans="10:11" x14ac:dyDescent="0.3">
      <c r="J88" s="11">
        <v>41849</v>
      </c>
      <c r="K88" s="8">
        <v>322</v>
      </c>
    </row>
    <row r="89" spans="10:11" x14ac:dyDescent="0.3">
      <c r="J89" s="11">
        <v>41852</v>
      </c>
      <c r="K89" s="8">
        <v>2413.56</v>
      </c>
    </row>
    <row r="90" spans="10:11" x14ac:dyDescent="0.3">
      <c r="J90" s="11">
        <v>41855</v>
      </c>
      <c r="K90" s="8">
        <v>3124</v>
      </c>
    </row>
    <row r="91" spans="10:11" x14ac:dyDescent="0.3">
      <c r="J91" s="11">
        <v>41857</v>
      </c>
      <c r="K91" s="8">
        <v>1646</v>
      </c>
    </row>
    <row r="92" spans="10:11" x14ac:dyDescent="0.3">
      <c r="J92" s="11">
        <v>41858</v>
      </c>
      <c r="K92" s="8">
        <v>3956</v>
      </c>
    </row>
    <row r="93" spans="10:11" x14ac:dyDescent="0.3">
      <c r="J93" s="11">
        <v>41859</v>
      </c>
      <c r="K93" s="8">
        <v>4343.55</v>
      </c>
    </row>
    <row r="94" spans="10:11" x14ac:dyDescent="0.3">
      <c r="J94" s="11">
        <v>41860</v>
      </c>
      <c r="K94" s="8">
        <v>2400.6</v>
      </c>
    </row>
    <row r="95" spans="10:11" x14ac:dyDescent="0.3">
      <c r="J95" s="11">
        <v>41861</v>
      </c>
      <c r="K95" s="8">
        <v>4260.97</v>
      </c>
    </row>
    <row r="96" spans="10:11" x14ac:dyDescent="0.3">
      <c r="J96" s="11">
        <v>41862</v>
      </c>
      <c r="K96" s="8">
        <v>263.98</v>
      </c>
    </row>
    <row r="97" spans="10:11" x14ac:dyDescent="0.3">
      <c r="J97" s="11">
        <v>41876</v>
      </c>
      <c r="K97" s="8">
        <v>550</v>
      </c>
    </row>
    <row r="98" spans="10:11" x14ac:dyDescent="0.3">
      <c r="J98" s="11">
        <v>41877</v>
      </c>
      <c r="K98" s="8">
        <v>2678.75</v>
      </c>
    </row>
    <row r="99" spans="10:11" x14ac:dyDescent="0.3">
      <c r="J99" s="11">
        <v>41879</v>
      </c>
      <c r="K99" s="8">
        <v>3696.05</v>
      </c>
    </row>
    <row r="100" spans="10:11" x14ac:dyDescent="0.3">
      <c r="J100" s="11">
        <v>41880</v>
      </c>
      <c r="K100" s="8">
        <v>588</v>
      </c>
    </row>
    <row r="101" spans="10:11" x14ac:dyDescent="0.3">
      <c r="J101" s="11">
        <v>41883</v>
      </c>
      <c r="K101" s="8">
        <v>5547.86</v>
      </c>
    </row>
    <row r="102" spans="10:11" x14ac:dyDescent="0.3">
      <c r="J102" s="11">
        <v>41885</v>
      </c>
      <c r="K102" s="8">
        <v>4230</v>
      </c>
    </row>
    <row r="103" spans="10:11" x14ac:dyDescent="0.3">
      <c r="J103" s="11">
        <v>41886</v>
      </c>
      <c r="K103" s="8">
        <v>4647</v>
      </c>
    </row>
    <row r="104" spans="10:11" x14ac:dyDescent="0.3">
      <c r="J104" s="11">
        <v>41888</v>
      </c>
      <c r="K104" s="8">
        <v>2162</v>
      </c>
    </row>
    <row r="105" spans="10:11" x14ac:dyDescent="0.3">
      <c r="J105" s="11">
        <v>41890</v>
      </c>
      <c r="K105" s="8">
        <v>4820.7999999999993</v>
      </c>
    </row>
    <row r="106" spans="10:11" x14ac:dyDescent="0.3">
      <c r="J106" s="11">
        <v>41891</v>
      </c>
      <c r="K106" s="8">
        <v>2919.6</v>
      </c>
    </row>
    <row r="107" spans="10:11" x14ac:dyDescent="0.3">
      <c r="J107" s="11">
        <v>41892</v>
      </c>
      <c r="K107" s="8">
        <v>1353.6</v>
      </c>
    </row>
    <row r="108" spans="10:11" x14ac:dyDescent="0.3">
      <c r="J108" s="11">
        <v>41893</v>
      </c>
      <c r="K108" s="8">
        <v>509.86</v>
      </c>
    </row>
    <row r="109" spans="10:11" x14ac:dyDescent="0.3">
      <c r="J109" s="11">
        <v>41907</v>
      </c>
      <c r="K109" s="8">
        <v>940</v>
      </c>
    </row>
    <row r="110" spans="10:11" x14ac:dyDescent="0.3">
      <c r="J110" s="11">
        <v>41908</v>
      </c>
      <c r="K110" s="8">
        <v>2874.25</v>
      </c>
    </row>
    <row r="111" spans="10:11" x14ac:dyDescent="0.3">
      <c r="J111" s="11">
        <v>41910</v>
      </c>
      <c r="K111" s="8">
        <v>1245</v>
      </c>
    </row>
    <row r="112" spans="10:11" x14ac:dyDescent="0.3">
      <c r="J112" s="11">
        <v>41911</v>
      </c>
      <c r="K112" s="8">
        <v>700</v>
      </c>
    </row>
    <row r="113" spans="10:11" x14ac:dyDescent="0.3">
      <c r="J113" s="11">
        <v>41913</v>
      </c>
      <c r="K113" s="8">
        <v>4431.3500000000004</v>
      </c>
    </row>
    <row r="114" spans="10:11" x14ac:dyDescent="0.3">
      <c r="J114" s="11">
        <v>41915</v>
      </c>
      <c r="K114" s="8">
        <v>3750</v>
      </c>
    </row>
    <row r="115" spans="10:11" x14ac:dyDescent="0.3">
      <c r="J115" s="11">
        <v>41916</v>
      </c>
      <c r="K115" s="8">
        <v>6845</v>
      </c>
    </row>
    <row r="116" spans="10:11" x14ac:dyDescent="0.3">
      <c r="J116" s="11">
        <v>41918</v>
      </c>
      <c r="K116" s="8">
        <v>6738.5</v>
      </c>
    </row>
    <row r="117" spans="10:11" x14ac:dyDescent="0.3">
      <c r="J117" s="11">
        <v>41919</v>
      </c>
      <c r="K117" s="8">
        <v>2852</v>
      </c>
    </row>
    <row r="118" spans="10:11" x14ac:dyDescent="0.3">
      <c r="J118" s="11">
        <v>41920</v>
      </c>
      <c r="K118" s="8">
        <v>7402.4</v>
      </c>
    </row>
    <row r="119" spans="10:11" x14ac:dyDescent="0.3">
      <c r="J119" s="11">
        <v>41921</v>
      </c>
      <c r="K119" s="8">
        <v>4542.8500000000004</v>
      </c>
    </row>
    <row r="120" spans="10:11" x14ac:dyDescent="0.3">
      <c r="J120" s="11">
        <v>41922</v>
      </c>
      <c r="K120" s="8">
        <v>3561.4800000000005</v>
      </c>
    </row>
    <row r="121" spans="10:11" x14ac:dyDescent="0.3">
      <c r="J121" s="11">
        <v>41923</v>
      </c>
      <c r="K121" s="8">
        <v>2616.5100000000002</v>
      </c>
    </row>
    <row r="122" spans="10:11" x14ac:dyDescent="0.3">
      <c r="J122" s="11">
        <v>41937</v>
      </c>
      <c r="K122" s="8">
        <v>900</v>
      </c>
    </row>
    <row r="123" spans="10:11" x14ac:dyDescent="0.3">
      <c r="J123" s="11">
        <v>41938</v>
      </c>
      <c r="K123" s="8">
        <v>1915.3000000000002</v>
      </c>
    </row>
    <row r="124" spans="10:11" x14ac:dyDescent="0.3">
      <c r="J124" s="11">
        <v>41940</v>
      </c>
      <c r="K124" s="8">
        <v>6386.2000000000007</v>
      </c>
    </row>
    <row r="125" spans="10:11" x14ac:dyDescent="0.3">
      <c r="J125" s="11">
        <v>41941</v>
      </c>
      <c r="K125" s="8">
        <v>1092</v>
      </c>
    </row>
    <row r="126" spans="10:11" x14ac:dyDescent="0.3">
      <c r="J126" s="11">
        <v>41944</v>
      </c>
      <c r="K126" s="8">
        <v>2956.18</v>
      </c>
    </row>
    <row r="127" spans="10:11" x14ac:dyDescent="0.3">
      <c r="J127" s="11">
        <v>41946</v>
      </c>
      <c r="K127" s="8">
        <v>1320</v>
      </c>
    </row>
    <row r="128" spans="10:11" x14ac:dyDescent="0.3">
      <c r="J128" s="11">
        <v>41947</v>
      </c>
      <c r="K128" s="8">
        <v>4471</v>
      </c>
    </row>
    <row r="129" spans="10:11" x14ac:dyDescent="0.3">
      <c r="J129" s="11">
        <v>41949</v>
      </c>
      <c r="K129" s="8">
        <v>1381.25</v>
      </c>
    </row>
    <row r="130" spans="10:11" x14ac:dyDescent="0.3">
      <c r="J130" s="11">
        <v>41951</v>
      </c>
      <c r="K130" s="8">
        <v>2130</v>
      </c>
    </row>
    <row r="131" spans="10:11" x14ac:dyDescent="0.3">
      <c r="J131" s="11">
        <v>41952</v>
      </c>
      <c r="K131" s="8">
        <v>3849.9999999999995</v>
      </c>
    </row>
    <row r="132" spans="10:11" x14ac:dyDescent="0.3">
      <c r="J132" s="11">
        <v>41953</v>
      </c>
      <c r="K132" s="8">
        <v>2663.3</v>
      </c>
    </row>
    <row r="133" spans="10:11" x14ac:dyDescent="0.3">
      <c r="J133" s="11">
        <v>41954</v>
      </c>
      <c r="K133" s="8">
        <v>3566</v>
      </c>
    </row>
    <row r="134" spans="10:11" x14ac:dyDescent="0.3">
      <c r="J134" s="11">
        <v>41968</v>
      </c>
      <c r="K134" s="8">
        <v>990</v>
      </c>
    </row>
    <row r="135" spans="10:11" x14ac:dyDescent="0.3">
      <c r="J135" s="11">
        <v>41969</v>
      </c>
      <c r="K135" s="8">
        <v>3007.8</v>
      </c>
    </row>
    <row r="136" spans="10:11" x14ac:dyDescent="0.3">
      <c r="J136" s="11">
        <v>41971</v>
      </c>
      <c r="K136" s="8">
        <v>4905.8999999999996</v>
      </c>
    </row>
    <row r="137" spans="10:11" x14ac:dyDescent="0.3">
      <c r="J137" s="11">
        <v>41972</v>
      </c>
      <c r="K137" s="8">
        <v>532</v>
      </c>
    </row>
    <row r="138" spans="10:11" x14ac:dyDescent="0.3">
      <c r="J138" s="11">
        <v>41974</v>
      </c>
      <c r="K138" s="8">
        <v>6895.36</v>
      </c>
    </row>
    <row r="139" spans="10:11" x14ac:dyDescent="0.3">
      <c r="J139" s="11">
        <v>41976</v>
      </c>
      <c r="K139" s="8">
        <v>2368.1600000000003</v>
      </c>
    </row>
    <row r="140" spans="10:11" x14ac:dyDescent="0.3">
      <c r="J140" s="11">
        <v>41977</v>
      </c>
      <c r="K140" s="8">
        <v>11026</v>
      </c>
    </row>
    <row r="141" spans="10:11" x14ac:dyDescent="0.3">
      <c r="J141" s="11">
        <v>41979</v>
      </c>
      <c r="K141" s="8">
        <v>5699.75</v>
      </c>
    </row>
    <row r="142" spans="10:11" x14ac:dyDescent="0.3">
      <c r="J142" s="11">
        <v>41980</v>
      </c>
      <c r="K142" s="8">
        <v>1886</v>
      </c>
    </row>
    <row r="143" spans="10:11" x14ac:dyDescent="0.3">
      <c r="J143" s="11">
        <v>41981</v>
      </c>
      <c r="K143" s="8">
        <v>7392.1999999999989</v>
      </c>
    </row>
    <row r="144" spans="10:11" x14ac:dyDescent="0.3">
      <c r="J144" s="11">
        <v>41982</v>
      </c>
      <c r="K144" s="8">
        <v>2964.8999999999996</v>
      </c>
    </row>
    <row r="145" spans="10:11" x14ac:dyDescent="0.3">
      <c r="J145" s="11">
        <v>41983</v>
      </c>
      <c r="K145" s="8">
        <v>4187.6900000000005</v>
      </c>
    </row>
    <row r="146" spans="10:11" x14ac:dyDescent="0.3">
      <c r="J146" s="11">
        <v>41984</v>
      </c>
      <c r="K146" s="8">
        <v>2857.4700000000003</v>
      </c>
    </row>
    <row r="147" spans="10:11" x14ac:dyDescent="0.3">
      <c r="J147" s="11">
        <v>41985</v>
      </c>
      <c r="K147" s="8">
        <v>4844</v>
      </c>
    </row>
    <row r="148" spans="10:11" x14ac:dyDescent="0.3">
      <c r="J148" s="11">
        <v>41998</v>
      </c>
      <c r="K148" s="8">
        <v>2430</v>
      </c>
    </row>
    <row r="149" spans="10:11" x14ac:dyDescent="0.3">
      <c r="J149" s="11">
        <v>41999</v>
      </c>
      <c r="K149" s="8">
        <v>4358.8999999999996</v>
      </c>
    </row>
    <row r="150" spans="10:11" x14ac:dyDescent="0.3">
      <c r="J150" s="11">
        <v>42000</v>
      </c>
      <c r="K150" s="8">
        <v>441</v>
      </c>
    </row>
    <row r="151" spans="10:11" x14ac:dyDescent="0.3">
      <c r="J151" s="11">
        <v>42001</v>
      </c>
      <c r="K151" s="8">
        <v>5242.1000000000004</v>
      </c>
    </row>
    <row r="152" spans="10:11" x14ac:dyDescent="0.3">
      <c r="J152" s="11">
        <v>42002</v>
      </c>
      <c r="K152" s="8">
        <v>4049.25</v>
      </c>
    </row>
    <row r="153" spans="10:11" x14ac:dyDescent="0.3">
      <c r="J153" s="11" t="s">
        <v>154</v>
      </c>
      <c r="K153" s="8">
        <v>435036.15999999986</v>
      </c>
    </row>
  </sheetData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48FD-E8CD-4C99-8E0C-8D4D49FF5580}">
  <dimension ref="A1"/>
  <sheetViews>
    <sheetView showGridLines="0" tabSelected="1" zoomScale="59" zoomScaleNormal="59" workbookViewId="0">
      <selection activeCell="Z15" sqref="Z15"/>
    </sheetView>
  </sheetViews>
  <sheetFormatPr defaultColWidth="8.75" defaultRowHeight="14" x14ac:dyDescent="0.3"/>
  <cols>
    <col min="1" max="16384" width="8.75" style="10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C4C8-77DD-4622-B60A-E6A25BC97DEE}">
  <dimension ref="A1:Z372"/>
  <sheetViews>
    <sheetView topLeftCell="A3" workbookViewId="0">
      <selection activeCell="F9" sqref="F9"/>
    </sheetView>
  </sheetViews>
  <sheetFormatPr defaultRowHeight="14" x14ac:dyDescent="0.3"/>
  <cols>
    <col min="1" max="1" width="24.08203125" bestFit="1" customWidth="1"/>
    <col min="2" max="2" width="9.75" bestFit="1" customWidth="1"/>
    <col min="3" max="3" width="11.1640625" bestFit="1" customWidth="1"/>
    <col min="4" max="4" width="14.33203125" bestFit="1" customWidth="1"/>
    <col min="5" max="5" width="13.1640625" bestFit="1" customWidth="1"/>
    <col min="6" max="6" width="11.6640625" bestFit="1" customWidth="1"/>
    <col min="7" max="7" width="5.1640625" bestFit="1" customWidth="1"/>
    <col min="8" max="8" width="14.1640625" bestFit="1" customWidth="1"/>
    <col min="9" max="9" width="14" bestFit="1" customWidth="1"/>
    <col min="10" max="10" width="14.5" bestFit="1" customWidth="1"/>
    <col min="11" max="11" width="6.5" bestFit="1" customWidth="1"/>
    <col min="12" max="12" width="12.08203125" bestFit="1" customWidth="1"/>
    <col min="13" max="13" width="17.4140625" bestFit="1" customWidth="1"/>
    <col min="14" max="14" width="20" bestFit="1" customWidth="1"/>
    <col min="15" max="15" width="24.5" bestFit="1" customWidth="1"/>
    <col min="16" max="16" width="11.6640625" bestFit="1" customWidth="1"/>
    <col min="17" max="17" width="9.33203125" bestFit="1" customWidth="1"/>
    <col min="18" max="18" width="18.4140625" bestFit="1" customWidth="1"/>
    <col min="19" max="19" width="18.25" bestFit="1" customWidth="1"/>
    <col min="20" max="20" width="12.4140625" bestFit="1" customWidth="1"/>
    <col min="21" max="21" width="19.25" bestFit="1" customWidth="1"/>
    <col min="22" max="22" width="18.08203125" bestFit="1" customWidth="1"/>
    <col min="23" max="23" width="9" bestFit="1" customWidth="1"/>
    <col min="24" max="24" width="8" bestFit="1" customWidth="1"/>
    <col min="25" max="25" width="8.9140625" bestFit="1" customWidth="1"/>
    <col min="26" max="26" width="11.6640625" bestFit="1" customWidth="1"/>
  </cols>
  <sheetData>
    <row r="1" spans="1:26" ht="18" x14ac:dyDescent="0.4">
      <c r="A1" s="1" t="s">
        <v>0</v>
      </c>
      <c r="O1" s="1" t="s">
        <v>1</v>
      </c>
    </row>
    <row r="3" spans="1:2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x14ac:dyDescent="0.3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 x14ac:dyDescent="0.3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 x14ac:dyDescent="0.3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 x14ac:dyDescent="0.3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 x14ac:dyDescent="0.3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 x14ac:dyDescent="0.3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 x14ac:dyDescent="0.3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 x14ac:dyDescent="0.3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 x14ac:dyDescent="0.3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 x14ac:dyDescent="0.3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 x14ac:dyDescent="0.3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 x14ac:dyDescent="0.3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 x14ac:dyDescent="0.3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 x14ac:dyDescent="0.3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 x14ac:dyDescent="0.3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 x14ac:dyDescent="0.3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 x14ac:dyDescent="0.3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 x14ac:dyDescent="0.3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 x14ac:dyDescent="0.3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 x14ac:dyDescent="0.3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 x14ac:dyDescent="0.3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 x14ac:dyDescent="0.3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 x14ac:dyDescent="0.3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 x14ac:dyDescent="0.3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 x14ac:dyDescent="0.3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 x14ac:dyDescent="0.3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 x14ac:dyDescent="0.3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 x14ac:dyDescent="0.3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 x14ac:dyDescent="0.3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 x14ac:dyDescent="0.3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 x14ac:dyDescent="0.3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 x14ac:dyDescent="0.3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 x14ac:dyDescent="0.3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 x14ac:dyDescent="0.3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 x14ac:dyDescent="0.3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 x14ac:dyDescent="0.3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 x14ac:dyDescent="0.3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 x14ac:dyDescent="0.3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 x14ac:dyDescent="0.3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 x14ac:dyDescent="0.3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 x14ac:dyDescent="0.3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 x14ac:dyDescent="0.3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 x14ac:dyDescent="0.3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 x14ac:dyDescent="0.3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 x14ac:dyDescent="0.3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 x14ac:dyDescent="0.3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 x14ac:dyDescent="0.3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 x14ac:dyDescent="0.3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 x14ac:dyDescent="0.3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 x14ac:dyDescent="0.3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 x14ac:dyDescent="0.3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 x14ac:dyDescent="0.3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 x14ac:dyDescent="0.3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 x14ac:dyDescent="0.3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 x14ac:dyDescent="0.3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 x14ac:dyDescent="0.3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 x14ac:dyDescent="0.3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 x14ac:dyDescent="0.3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 x14ac:dyDescent="0.3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 x14ac:dyDescent="0.3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 x14ac:dyDescent="0.3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 x14ac:dyDescent="0.3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 x14ac:dyDescent="0.3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 x14ac:dyDescent="0.3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 x14ac:dyDescent="0.3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 x14ac:dyDescent="0.3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 x14ac:dyDescent="0.3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 x14ac:dyDescent="0.3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 x14ac:dyDescent="0.3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 x14ac:dyDescent="0.3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 x14ac:dyDescent="0.3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 x14ac:dyDescent="0.3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 x14ac:dyDescent="0.3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 x14ac:dyDescent="0.3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 x14ac:dyDescent="0.3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 x14ac:dyDescent="0.3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 x14ac:dyDescent="0.3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 x14ac:dyDescent="0.3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 x14ac:dyDescent="0.3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 x14ac:dyDescent="0.3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 x14ac:dyDescent="0.3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 x14ac:dyDescent="0.3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 x14ac:dyDescent="0.3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 x14ac:dyDescent="0.3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 x14ac:dyDescent="0.3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 x14ac:dyDescent="0.3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 x14ac:dyDescent="0.3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 x14ac:dyDescent="0.3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 x14ac:dyDescent="0.3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 x14ac:dyDescent="0.3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 x14ac:dyDescent="0.3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 x14ac:dyDescent="0.3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 x14ac:dyDescent="0.3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 x14ac:dyDescent="0.3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 x14ac:dyDescent="0.3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 x14ac:dyDescent="0.3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 x14ac:dyDescent="0.3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 x14ac:dyDescent="0.3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 x14ac:dyDescent="0.3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 x14ac:dyDescent="0.3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 x14ac:dyDescent="0.3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 x14ac:dyDescent="0.3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 x14ac:dyDescent="0.3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 x14ac:dyDescent="0.3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 x14ac:dyDescent="0.3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 x14ac:dyDescent="0.3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 x14ac:dyDescent="0.3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 x14ac:dyDescent="0.3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 x14ac:dyDescent="0.3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 x14ac:dyDescent="0.3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 x14ac:dyDescent="0.3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 x14ac:dyDescent="0.3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 x14ac:dyDescent="0.3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 x14ac:dyDescent="0.3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 x14ac:dyDescent="0.3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 x14ac:dyDescent="0.3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 x14ac:dyDescent="0.3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 x14ac:dyDescent="0.3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 x14ac:dyDescent="0.3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 x14ac:dyDescent="0.3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 x14ac:dyDescent="0.3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 x14ac:dyDescent="0.3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 x14ac:dyDescent="0.3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 x14ac:dyDescent="0.3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 x14ac:dyDescent="0.3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 x14ac:dyDescent="0.3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 x14ac:dyDescent="0.3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 x14ac:dyDescent="0.3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 x14ac:dyDescent="0.3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 x14ac:dyDescent="0.3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 x14ac:dyDescent="0.3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 x14ac:dyDescent="0.3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 x14ac:dyDescent="0.3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 x14ac:dyDescent="0.3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 x14ac:dyDescent="0.3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 x14ac:dyDescent="0.3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 x14ac:dyDescent="0.3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 x14ac:dyDescent="0.3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 x14ac:dyDescent="0.3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 x14ac:dyDescent="0.3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 x14ac:dyDescent="0.3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 x14ac:dyDescent="0.3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 x14ac:dyDescent="0.3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 x14ac:dyDescent="0.3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 x14ac:dyDescent="0.3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 x14ac:dyDescent="0.3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 x14ac:dyDescent="0.3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 x14ac:dyDescent="0.3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 x14ac:dyDescent="0.3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 x14ac:dyDescent="0.3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 x14ac:dyDescent="0.3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 x14ac:dyDescent="0.3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 x14ac:dyDescent="0.3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 x14ac:dyDescent="0.3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 x14ac:dyDescent="0.3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 x14ac:dyDescent="0.3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 x14ac:dyDescent="0.3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 x14ac:dyDescent="0.3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 x14ac:dyDescent="0.3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 x14ac:dyDescent="0.3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 x14ac:dyDescent="0.3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 x14ac:dyDescent="0.3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 x14ac:dyDescent="0.3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 x14ac:dyDescent="0.3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 x14ac:dyDescent="0.3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 x14ac:dyDescent="0.3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 x14ac:dyDescent="0.3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 x14ac:dyDescent="0.3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 x14ac:dyDescent="0.3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 x14ac:dyDescent="0.3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 x14ac:dyDescent="0.3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 x14ac:dyDescent="0.3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 x14ac:dyDescent="0.3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 x14ac:dyDescent="0.3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 x14ac:dyDescent="0.3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 x14ac:dyDescent="0.3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 x14ac:dyDescent="0.3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 x14ac:dyDescent="0.3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 x14ac:dyDescent="0.3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 x14ac:dyDescent="0.3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 x14ac:dyDescent="0.3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 x14ac:dyDescent="0.3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 x14ac:dyDescent="0.3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 x14ac:dyDescent="0.3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 x14ac:dyDescent="0.3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 x14ac:dyDescent="0.3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 x14ac:dyDescent="0.3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 x14ac:dyDescent="0.3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 x14ac:dyDescent="0.3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 x14ac:dyDescent="0.3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 x14ac:dyDescent="0.3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 x14ac:dyDescent="0.3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 x14ac:dyDescent="0.3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 x14ac:dyDescent="0.3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 x14ac:dyDescent="0.3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 x14ac:dyDescent="0.3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 x14ac:dyDescent="0.3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 x14ac:dyDescent="0.3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 x14ac:dyDescent="0.3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 x14ac:dyDescent="0.3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 x14ac:dyDescent="0.3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 x14ac:dyDescent="0.3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 x14ac:dyDescent="0.3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 x14ac:dyDescent="0.3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 x14ac:dyDescent="0.3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 x14ac:dyDescent="0.3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 x14ac:dyDescent="0.3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 x14ac:dyDescent="0.3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 x14ac:dyDescent="0.3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 x14ac:dyDescent="0.3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 x14ac:dyDescent="0.3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 x14ac:dyDescent="0.3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 x14ac:dyDescent="0.3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 x14ac:dyDescent="0.3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 x14ac:dyDescent="0.3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 x14ac:dyDescent="0.3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 x14ac:dyDescent="0.3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 x14ac:dyDescent="0.3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 x14ac:dyDescent="0.3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 x14ac:dyDescent="0.3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 x14ac:dyDescent="0.3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 x14ac:dyDescent="0.3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 x14ac:dyDescent="0.3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 x14ac:dyDescent="0.3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 x14ac:dyDescent="0.3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 x14ac:dyDescent="0.3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 x14ac:dyDescent="0.3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 x14ac:dyDescent="0.3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 x14ac:dyDescent="0.3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 x14ac:dyDescent="0.3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 x14ac:dyDescent="0.3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 x14ac:dyDescent="0.3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 x14ac:dyDescent="0.3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 x14ac:dyDescent="0.3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 x14ac:dyDescent="0.3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 x14ac:dyDescent="0.3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 x14ac:dyDescent="0.3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 x14ac:dyDescent="0.3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 x14ac:dyDescent="0.3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 x14ac:dyDescent="0.3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 x14ac:dyDescent="0.3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 x14ac:dyDescent="0.3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 x14ac:dyDescent="0.3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 x14ac:dyDescent="0.3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 x14ac:dyDescent="0.3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 x14ac:dyDescent="0.3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 x14ac:dyDescent="0.3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 x14ac:dyDescent="0.3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 x14ac:dyDescent="0.3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 x14ac:dyDescent="0.3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 x14ac:dyDescent="0.3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 x14ac:dyDescent="0.3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 x14ac:dyDescent="0.3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 x14ac:dyDescent="0.3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 x14ac:dyDescent="0.3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 x14ac:dyDescent="0.3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 x14ac:dyDescent="0.3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 x14ac:dyDescent="0.3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 x14ac:dyDescent="0.3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 x14ac:dyDescent="0.3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 x14ac:dyDescent="0.3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 x14ac:dyDescent="0.3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 x14ac:dyDescent="0.3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 x14ac:dyDescent="0.3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 x14ac:dyDescent="0.3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 x14ac:dyDescent="0.3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 x14ac:dyDescent="0.3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 x14ac:dyDescent="0.3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 x14ac:dyDescent="0.3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 x14ac:dyDescent="0.3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 x14ac:dyDescent="0.3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 x14ac:dyDescent="0.3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 x14ac:dyDescent="0.3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 x14ac:dyDescent="0.3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 x14ac:dyDescent="0.3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 x14ac:dyDescent="0.3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 x14ac:dyDescent="0.3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 x14ac:dyDescent="0.3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 x14ac:dyDescent="0.3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 x14ac:dyDescent="0.3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 x14ac:dyDescent="0.3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 x14ac:dyDescent="0.3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 x14ac:dyDescent="0.3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 x14ac:dyDescent="0.3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 x14ac:dyDescent="0.3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 x14ac:dyDescent="0.3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 x14ac:dyDescent="0.3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 x14ac:dyDescent="0.3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 x14ac:dyDescent="0.3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 x14ac:dyDescent="0.3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 x14ac:dyDescent="0.3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 x14ac:dyDescent="0.3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 x14ac:dyDescent="0.3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 x14ac:dyDescent="0.3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 x14ac:dyDescent="0.3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 x14ac:dyDescent="0.3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 x14ac:dyDescent="0.3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 x14ac:dyDescent="0.3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 x14ac:dyDescent="0.3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 x14ac:dyDescent="0.3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 x14ac:dyDescent="0.3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 x14ac:dyDescent="0.3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 x14ac:dyDescent="0.3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 x14ac:dyDescent="0.3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 x14ac:dyDescent="0.3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 x14ac:dyDescent="0.3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 x14ac:dyDescent="0.3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 x14ac:dyDescent="0.3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 x14ac:dyDescent="0.3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 x14ac:dyDescent="0.3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 x14ac:dyDescent="0.3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 x14ac:dyDescent="0.3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 x14ac:dyDescent="0.3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 x14ac:dyDescent="0.3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 x14ac:dyDescent="0.3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 x14ac:dyDescent="0.3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 x14ac:dyDescent="0.3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 x14ac:dyDescent="0.3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 x14ac:dyDescent="0.3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 x14ac:dyDescent="0.3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 x14ac:dyDescent="0.3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 x14ac:dyDescent="0.3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 x14ac:dyDescent="0.3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 x14ac:dyDescent="0.3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 x14ac:dyDescent="0.3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 x14ac:dyDescent="0.3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 x14ac:dyDescent="0.3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 x14ac:dyDescent="0.3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 x14ac:dyDescent="0.3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 x14ac:dyDescent="0.3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 x14ac:dyDescent="0.3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 x14ac:dyDescent="0.3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 x14ac:dyDescent="0.3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 x14ac:dyDescent="0.3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 x14ac:dyDescent="0.3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 x14ac:dyDescent="0.3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 x14ac:dyDescent="0.3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 x14ac:dyDescent="0.3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 x14ac:dyDescent="0.3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 x14ac:dyDescent="0.3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 x14ac:dyDescent="0.3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 x14ac:dyDescent="0.3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 x14ac:dyDescent="0.3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 x14ac:dyDescent="0.3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 x14ac:dyDescent="0.3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 x14ac:dyDescent="0.3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 x14ac:dyDescent="0.3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 x14ac:dyDescent="0.3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 x14ac:dyDescent="0.3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 x14ac:dyDescent="0.3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 x14ac:dyDescent="0.3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 x14ac:dyDescent="0.3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 x14ac:dyDescent="0.3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 x14ac:dyDescent="0.3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 x14ac:dyDescent="0.3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 x14ac:dyDescent="0.3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 x14ac:dyDescent="0.3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 x14ac:dyDescent="0.3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 x14ac:dyDescent="0.3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 x14ac:dyDescent="0.3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 x14ac:dyDescent="0.3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 x14ac:dyDescent="0.3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 x14ac:dyDescent="0.3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 x14ac:dyDescent="0.3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 x14ac:dyDescent="0.3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 x14ac:dyDescent="0.3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 x14ac:dyDescent="0.3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 x14ac:dyDescent="0.3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 x14ac:dyDescent="0.3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718D-3FEF-44D4-B618-468401A626A2}">
  <dimension ref="A1:Z372"/>
  <sheetViews>
    <sheetView topLeftCell="A4" workbookViewId="0">
      <selection activeCell="A4" sqref="A4:Z372"/>
    </sheetView>
  </sheetViews>
  <sheetFormatPr defaultRowHeight="14" x14ac:dyDescent="0.3"/>
  <cols>
    <col min="1" max="1" width="10.5" customWidth="1"/>
    <col min="2" max="2" width="12.83203125" customWidth="1"/>
    <col min="3" max="3" width="14" customWidth="1"/>
    <col min="4" max="4" width="17.4140625" customWidth="1"/>
    <col min="5" max="5" width="10.25" customWidth="1"/>
    <col min="8" max="9" width="17.1640625" customWidth="1"/>
    <col min="10" max="10" width="13.83203125" customWidth="1"/>
    <col min="11" max="11" width="9.25" customWidth="1"/>
    <col min="12" max="12" width="15" customWidth="1"/>
    <col min="13" max="13" width="15.75" customWidth="1"/>
    <col min="14" max="14" width="12.75" customWidth="1"/>
    <col min="15" max="15" width="14.5" customWidth="1"/>
    <col min="16" max="16" width="10.83203125" customWidth="1"/>
    <col min="17" max="17" width="12" customWidth="1"/>
    <col min="18" max="19" width="21.4140625" customWidth="1"/>
    <col min="20" max="21" width="15.75" customWidth="1"/>
    <col min="22" max="22" width="11" customWidth="1"/>
    <col min="23" max="23" width="11.83203125" customWidth="1"/>
    <col min="24" max="24" width="10.83203125" customWidth="1"/>
    <col min="25" max="25" width="11" customWidth="1"/>
    <col min="26" max="26" width="14.5" customWidth="1"/>
  </cols>
  <sheetData>
    <row r="1" spans="1:26" ht="18" x14ac:dyDescent="0.4">
      <c r="A1" s="1" t="s">
        <v>0</v>
      </c>
      <c r="O1" s="1" t="s">
        <v>1</v>
      </c>
    </row>
    <row r="3" spans="1:2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x14ac:dyDescent="0.3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 x14ac:dyDescent="0.3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 x14ac:dyDescent="0.3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 x14ac:dyDescent="0.3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 x14ac:dyDescent="0.3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 x14ac:dyDescent="0.3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 x14ac:dyDescent="0.3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 x14ac:dyDescent="0.3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 x14ac:dyDescent="0.3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 x14ac:dyDescent="0.3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 x14ac:dyDescent="0.3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 x14ac:dyDescent="0.3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 x14ac:dyDescent="0.3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 x14ac:dyDescent="0.3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 x14ac:dyDescent="0.3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 x14ac:dyDescent="0.3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 x14ac:dyDescent="0.3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 x14ac:dyDescent="0.3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 x14ac:dyDescent="0.3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 x14ac:dyDescent="0.3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 x14ac:dyDescent="0.3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 x14ac:dyDescent="0.3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 x14ac:dyDescent="0.3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 x14ac:dyDescent="0.3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 x14ac:dyDescent="0.3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 x14ac:dyDescent="0.3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 x14ac:dyDescent="0.3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 x14ac:dyDescent="0.3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 x14ac:dyDescent="0.3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 x14ac:dyDescent="0.3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 x14ac:dyDescent="0.3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 x14ac:dyDescent="0.3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 x14ac:dyDescent="0.3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 x14ac:dyDescent="0.3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 x14ac:dyDescent="0.3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 x14ac:dyDescent="0.3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 x14ac:dyDescent="0.3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 x14ac:dyDescent="0.3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 x14ac:dyDescent="0.3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 x14ac:dyDescent="0.3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 x14ac:dyDescent="0.3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 x14ac:dyDescent="0.3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 x14ac:dyDescent="0.3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 x14ac:dyDescent="0.3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 x14ac:dyDescent="0.3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 x14ac:dyDescent="0.3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 x14ac:dyDescent="0.3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 x14ac:dyDescent="0.3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 x14ac:dyDescent="0.3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 x14ac:dyDescent="0.3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 x14ac:dyDescent="0.3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 x14ac:dyDescent="0.3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 x14ac:dyDescent="0.3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 x14ac:dyDescent="0.3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 x14ac:dyDescent="0.3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 x14ac:dyDescent="0.3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 x14ac:dyDescent="0.3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 x14ac:dyDescent="0.3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 x14ac:dyDescent="0.3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 x14ac:dyDescent="0.3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 x14ac:dyDescent="0.3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 x14ac:dyDescent="0.3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 x14ac:dyDescent="0.3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 x14ac:dyDescent="0.3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 x14ac:dyDescent="0.3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 x14ac:dyDescent="0.3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 x14ac:dyDescent="0.3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 x14ac:dyDescent="0.3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 x14ac:dyDescent="0.3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 x14ac:dyDescent="0.3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 x14ac:dyDescent="0.3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 x14ac:dyDescent="0.3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 x14ac:dyDescent="0.3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 x14ac:dyDescent="0.3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 x14ac:dyDescent="0.3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 x14ac:dyDescent="0.3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 x14ac:dyDescent="0.3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 x14ac:dyDescent="0.3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 x14ac:dyDescent="0.3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 x14ac:dyDescent="0.3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 x14ac:dyDescent="0.3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 x14ac:dyDescent="0.3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 x14ac:dyDescent="0.3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 x14ac:dyDescent="0.3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 x14ac:dyDescent="0.3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 x14ac:dyDescent="0.3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 x14ac:dyDescent="0.3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 x14ac:dyDescent="0.3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 x14ac:dyDescent="0.3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 x14ac:dyDescent="0.3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 x14ac:dyDescent="0.3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 x14ac:dyDescent="0.3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 x14ac:dyDescent="0.3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 x14ac:dyDescent="0.3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 x14ac:dyDescent="0.3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 x14ac:dyDescent="0.3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 x14ac:dyDescent="0.3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 x14ac:dyDescent="0.3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 x14ac:dyDescent="0.3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 x14ac:dyDescent="0.3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 x14ac:dyDescent="0.3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 x14ac:dyDescent="0.3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 x14ac:dyDescent="0.3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 x14ac:dyDescent="0.3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 x14ac:dyDescent="0.3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 x14ac:dyDescent="0.3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 x14ac:dyDescent="0.3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 x14ac:dyDescent="0.3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 x14ac:dyDescent="0.3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 x14ac:dyDescent="0.3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 x14ac:dyDescent="0.3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 x14ac:dyDescent="0.3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 x14ac:dyDescent="0.3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 x14ac:dyDescent="0.3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 x14ac:dyDescent="0.3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 x14ac:dyDescent="0.3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 x14ac:dyDescent="0.3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 x14ac:dyDescent="0.3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 x14ac:dyDescent="0.3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 x14ac:dyDescent="0.3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 x14ac:dyDescent="0.3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 x14ac:dyDescent="0.3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 x14ac:dyDescent="0.3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 x14ac:dyDescent="0.3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 x14ac:dyDescent="0.3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 x14ac:dyDescent="0.3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 x14ac:dyDescent="0.3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 x14ac:dyDescent="0.3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 x14ac:dyDescent="0.3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 x14ac:dyDescent="0.3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 x14ac:dyDescent="0.3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 x14ac:dyDescent="0.3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 x14ac:dyDescent="0.3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 x14ac:dyDescent="0.3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 x14ac:dyDescent="0.3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 x14ac:dyDescent="0.3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 x14ac:dyDescent="0.3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 x14ac:dyDescent="0.3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 x14ac:dyDescent="0.3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 x14ac:dyDescent="0.3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 x14ac:dyDescent="0.3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 x14ac:dyDescent="0.3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 x14ac:dyDescent="0.3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 x14ac:dyDescent="0.3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 x14ac:dyDescent="0.3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 x14ac:dyDescent="0.3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 x14ac:dyDescent="0.3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 x14ac:dyDescent="0.3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 x14ac:dyDescent="0.3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 x14ac:dyDescent="0.3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 x14ac:dyDescent="0.3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 x14ac:dyDescent="0.3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 x14ac:dyDescent="0.3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 x14ac:dyDescent="0.3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 x14ac:dyDescent="0.3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 x14ac:dyDescent="0.3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 x14ac:dyDescent="0.3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 x14ac:dyDescent="0.3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 x14ac:dyDescent="0.3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 x14ac:dyDescent="0.3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 x14ac:dyDescent="0.3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 x14ac:dyDescent="0.3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 x14ac:dyDescent="0.3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 x14ac:dyDescent="0.3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 x14ac:dyDescent="0.3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 x14ac:dyDescent="0.3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 x14ac:dyDescent="0.3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 x14ac:dyDescent="0.3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 x14ac:dyDescent="0.3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 x14ac:dyDescent="0.3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 x14ac:dyDescent="0.3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 x14ac:dyDescent="0.3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 x14ac:dyDescent="0.3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 x14ac:dyDescent="0.3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 x14ac:dyDescent="0.3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 x14ac:dyDescent="0.3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 x14ac:dyDescent="0.3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 x14ac:dyDescent="0.3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 x14ac:dyDescent="0.3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 x14ac:dyDescent="0.3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 x14ac:dyDescent="0.3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 x14ac:dyDescent="0.3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 x14ac:dyDescent="0.3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 x14ac:dyDescent="0.3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 x14ac:dyDescent="0.3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 x14ac:dyDescent="0.3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 x14ac:dyDescent="0.3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 x14ac:dyDescent="0.3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 x14ac:dyDescent="0.3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 x14ac:dyDescent="0.3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 x14ac:dyDescent="0.3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 x14ac:dyDescent="0.3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 x14ac:dyDescent="0.3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 x14ac:dyDescent="0.3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 x14ac:dyDescent="0.3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 x14ac:dyDescent="0.3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 x14ac:dyDescent="0.3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 x14ac:dyDescent="0.3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 x14ac:dyDescent="0.3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 x14ac:dyDescent="0.3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 x14ac:dyDescent="0.3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 x14ac:dyDescent="0.3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 x14ac:dyDescent="0.3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 x14ac:dyDescent="0.3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 x14ac:dyDescent="0.3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 x14ac:dyDescent="0.3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 x14ac:dyDescent="0.3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 x14ac:dyDescent="0.3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 x14ac:dyDescent="0.3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 x14ac:dyDescent="0.3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 x14ac:dyDescent="0.3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 x14ac:dyDescent="0.3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 x14ac:dyDescent="0.3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 x14ac:dyDescent="0.3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 x14ac:dyDescent="0.3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 x14ac:dyDescent="0.3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 x14ac:dyDescent="0.3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 x14ac:dyDescent="0.3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 x14ac:dyDescent="0.3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 x14ac:dyDescent="0.3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 x14ac:dyDescent="0.3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 x14ac:dyDescent="0.3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 x14ac:dyDescent="0.3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 x14ac:dyDescent="0.3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 x14ac:dyDescent="0.3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 x14ac:dyDescent="0.3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 x14ac:dyDescent="0.3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 x14ac:dyDescent="0.3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 x14ac:dyDescent="0.3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 x14ac:dyDescent="0.3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 x14ac:dyDescent="0.3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 x14ac:dyDescent="0.3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 x14ac:dyDescent="0.3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 x14ac:dyDescent="0.3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 x14ac:dyDescent="0.3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 x14ac:dyDescent="0.3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 x14ac:dyDescent="0.3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 x14ac:dyDescent="0.3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 x14ac:dyDescent="0.3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 x14ac:dyDescent="0.3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 x14ac:dyDescent="0.3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 x14ac:dyDescent="0.3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 x14ac:dyDescent="0.3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 x14ac:dyDescent="0.3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 x14ac:dyDescent="0.3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 x14ac:dyDescent="0.3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 x14ac:dyDescent="0.3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 x14ac:dyDescent="0.3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 x14ac:dyDescent="0.3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 x14ac:dyDescent="0.3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 x14ac:dyDescent="0.3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 x14ac:dyDescent="0.3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 x14ac:dyDescent="0.3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 x14ac:dyDescent="0.3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 x14ac:dyDescent="0.3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 x14ac:dyDescent="0.3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 x14ac:dyDescent="0.3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 x14ac:dyDescent="0.3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 x14ac:dyDescent="0.3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 x14ac:dyDescent="0.3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 x14ac:dyDescent="0.3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 x14ac:dyDescent="0.3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 x14ac:dyDescent="0.3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 x14ac:dyDescent="0.3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 x14ac:dyDescent="0.3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 x14ac:dyDescent="0.3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 x14ac:dyDescent="0.3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 x14ac:dyDescent="0.3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 x14ac:dyDescent="0.3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 x14ac:dyDescent="0.3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 x14ac:dyDescent="0.3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 x14ac:dyDescent="0.3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 x14ac:dyDescent="0.3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 x14ac:dyDescent="0.3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 x14ac:dyDescent="0.3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 x14ac:dyDescent="0.3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 x14ac:dyDescent="0.3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 x14ac:dyDescent="0.3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 x14ac:dyDescent="0.3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 x14ac:dyDescent="0.3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 x14ac:dyDescent="0.3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 x14ac:dyDescent="0.3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 x14ac:dyDescent="0.3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 x14ac:dyDescent="0.3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 x14ac:dyDescent="0.3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 x14ac:dyDescent="0.3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 x14ac:dyDescent="0.3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 x14ac:dyDescent="0.3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 x14ac:dyDescent="0.3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 x14ac:dyDescent="0.3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 x14ac:dyDescent="0.3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 x14ac:dyDescent="0.3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 x14ac:dyDescent="0.3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 x14ac:dyDescent="0.3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 x14ac:dyDescent="0.3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 x14ac:dyDescent="0.3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 x14ac:dyDescent="0.3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 x14ac:dyDescent="0.3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 x14ac:dyDescent="0.3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 x14ac:dyDescent="0.3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 x14ac:dyDescent="0.3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 x14ac:dyDescent="0.3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 x14ac:dyDescent="0.3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 x14ac:dyDescent="0.3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 x14ac:dyDescent="0.3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 x14ac:dyDescent="0.3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 x14ac:dyDescent="0.3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 x14ac:dyDescent="0.3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 x14ac:dyDescent="0.3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 x14ac:dyDescent="0.3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 x14ac:dyDescent="0.3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 x14ac:dyDescent="0.3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 x14ac:dyDescent="0.3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 x14ac:dyDescent="0.3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 x14ac:dyDescent="0.3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 x14ac:dyDescent="0.3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 x14ac:dyDescent="0.3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 x14ac:dyDescent="0.3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 x14ac:dyDescent="0.3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 x14ac:dyDescent="0.3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 x14ac:dyDescent="0.3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 x14ac:dyDescent="0.3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 x14ac:dyDescent="0.3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 x14ac:dyDescent="0.3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 x14ac:dyDescent="0.3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 x14ac:dyDescent="0.3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 x14ac:dyDescent="0.3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 x14ac:dyDescent="0.3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 x14ac:dyDescent="0.3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 x14ac:dyDescent="0.3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 x14ac:dyDescent="0.3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 x14ac:dyDescent="0.3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 x14ac:dyDescent="0.3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 x14ac:dyDescent="0.3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 x14ac:dyDescent="0.3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 x14ac:dyDescent="0.3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 x14ac:dyDescent="0.3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 x14ac:dyDescent="0.3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 x14ac:dyDescent="0.3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 x14ac:dyDescent="0.3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 x14ac:dyDescent="0.3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 x14ac:dyDescent="0.3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 x14ac:dyDescent="0.3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 x14ac:dyDescent="0.3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 x14ac:dyDescent="0.3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 x14ac:dyDescent="0.3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 x14ac:dyDescent="0.3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 x14ac:dyDescent="0.3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 x14ac:dyDescent="0.3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 x14ac:dyDescent="0.3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 x14ac:dyDescent="0.3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 x14ac:dyDescent="0.3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 x14ac:dyDescent="0.3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 x14ac:dyDescent="0.3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 x14ac:dyDescent="0.3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 x14ac:dyDescent="0.3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 x14ac:dyDescent="0.3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 x14ac:dyDescent="0.3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 x14ac:dyDescent="0.3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 x14ac:dyDescent="0.3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 x14ac:dyDescent="0.3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 x14ac:dyDescent="0.3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 x14ac:dyDescent="0.3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 x14ac:dyDescent="0.3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 x14ac:dyDescent="0.3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 x14ac:dyDescent="0.3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 x14ac:dyDescent="0.3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 x14ac:dyDescent="0.3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 x14ac:dyDescent="0.3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Dashboard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 Bello</dc:creator>
  <cp:lastModifiedBy>new user</cp:lastModifiedBy>
  <dcterms:created xsi:type="dcterms:W3CDTF">2026-02-23T14:18:00Z</dcterms:created>
  <dcterms:modified xsi:type="dcterms:W3CDTF">2026-07-08T12:58:18Z</dcterms:modified>
</cp:coreProperties>
</file>